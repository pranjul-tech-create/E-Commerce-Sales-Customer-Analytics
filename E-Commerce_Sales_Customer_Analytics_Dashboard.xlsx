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0" yWindow="560" windowWidth="9280" windowHeight="6490" firstSheet="2" activeTab="5"/>
  </bookViews>
  <sheets>
    <sheet name="Sheet3" sheetId="5" r:id="rId1"/>
    <sheet name="Sales_Data" sheetId="3" r:id="rId2"/>
    <sheet name="Raw_Data" sheetId="1" r:id="rId3"/>
    <sheet name="Read_Me" sheetId="2" r:id="rId4"/>
    <sheet name="Analysis" sheetId="4" r:id="rId5"/>
    <sheet name="Dashboard" sheetId="6" r:id="rId6"/>
  </sheets>
  <definedNames>
    <definedName name="_xlnm._FilterDatabase" localSheetId="2" hidden="1">Raw_Data!$A$1:$S$1001</definedName>
    <definedName name="_xlnm._FilterDatabase" localSheetId="1" hidden="1">Sales_Data!$A$1:$S$1001</definedName>
  </definedNames>
  <calcPr calcId="125725"/>
</workbook>
</file>

<file path=xl/calcChain.xml><?xml version="1.0" encoding="utf-8"?>
<calcChain xmlns="http://schemas.openxmlformats.org/spreadsheetml/2006/main">
  <c r="N14" i="4"/>
  <c r="N15"/>
  <c r="N16"/>
  <c r="N17"/>
  <c r="N18"/>
  <c r="N19"/>
  <c r="N20"/>
  <c r="N21"/>
  <c r="N22"/>
  <c r="B13"/>
  <c r="B14"/>
  <c r="B15"/>
  <c r="B16"/>
  <c r="B17"/>
  <c r="B18"/>
  <c r="B19"/>
  <c r="B20"/>
  <c r="B21"/>
  <c r="B22"/>
  <c r="B23"/>
  <c r="B24"/>
  <c r="T162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T45"/>
  <c r="T46"/>
  <c r="T47"/>
  <c r="T48"/>
  <c r="T49"/>
  <c r="T50"/>
  <c r="T51"/>
  <c r="T52"/>
  <c r="T53"/>
  <c r="T54"/>
  <c r="T55"/>
  <c r="T56"/>
  <c r="T57"/>
  <c r="T58"/>
  <c r="T59"/>
  <c r="T60"/>
  <c r="T61"/>
  <c r="T62"/>
  <c r="T63"/>
  <c r="T64"/>
  <c r="T65"/>
  <c r="T66"/>
  <c r="T67"/>
  <c r="T68"/>
  <c r="T69"/>
  <c r="T70"/>
  <c r="T71"/>
  <c r="T72"/>
  <c r="T73"/>
  <c r="T74"/>
  <c r="T75"/>
  <c r="T76"/>
  <c r="T77"/>
  <c r="T78"/>
  <c r="T79"/>
  <c r="T80"/>
  <c r="T81"/>
  <c r="T82"/>
  <c r="T83"/>
  <c r="T84"/>
  <c r="T85"/>
  <c r="T86"/>
  <c r="T87"/>
  <c r="T88"/>
  <c r="T89"/>
  <c r="T90"/>
  <c r="T91"/>
  <c r="T92"/>
  <c r="T93"/>
  <c r="T94"/>
  <c r="T95"/>
  <c r="T96"/>
  <c r="T97"/>
  <c r="T98"/>
  <c r="T99"/>
  <c r="T100"/>
  <c r="T101"/>
  <c r="T102"/>
  <c r="T103"/>
  <c r="T104"/>
  <c r="T105"/>
  <c r="T106"/>
  <c r="T107"/>
  <c r="T108"/>
  <c r="T109"/>
  <c r="T110"/>
  <c r="T111"/>
  <c r="T112"/>
  <c r="T113"/>
  <c r="T114"/>
  <c r="T115"/>
  <c r="T116"/>
  <c r="T117"/>
  <c r="T118"/>
  <c r="T119"/>
  <c r="T120"/>
  <c r="T121"/>
  <c r="T122"/>
  <c r="T123"/>
  <c r="T124"/>
  <c r="T125"/>
  <c r="T126"/>
  <c r="T127"/>
  <c r="T128"/>
  <c r="T129"/>
  <c r="T130"/>
  <c r="T131"/>
  <c r="T132"/>
  <c r="T133"/>
  <c r="T134"/>
  <c r="T135"/>
  <c r="T136"/>
  <c r="T137"/>
  <c r="T138"/>
  <c r="T139"/>
  <c r="T140"/>
  <c r="T141"/>
  <c r="T142"/>
  <c r="T143"/>
  <c r="T144"/>
  <c r="T145"/>
  <c r="T146"/>
  <c r="T147"/>
  <c r="T148"/>
  <c r="T149"/>
  <c r="T150"/>
  <c r="T151"/>
  <c r="T152"/>
  <c r="T153"/>
  <c r="T154"/>
  <c r="T155"/>
  <c r="T156"/>
  <c r="T157"/>
  <c r="T158"/>
  <c r="T159"/>
  <c r="T160"/>
  <c r="T161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30"/>
  <c r="S131"/>
  <c r="S132"/>
  <c r="S133"/>
  <c r="S134"/>
  <c r="S135"/>
  <c r="S136"/>
  <c r="S137"/>
  <c r="S138"/>
  <c r="S139"/>
  <c r="S140"/>
  <c r="S141"/>
  <c r="S142"/>
  <c r="S143"/>
  <c r="S144"/>
  <c r="S145"/>
  <c r="S146"/>
  <c r="S147"/>
  <c r="S148"/>
  <c r="S149"/>
  <c r="S150"/>
  <c r="S151"/>
  <c r="S152"/>
  <c r="S153"/>
  <c r="S154"/>
  <c r="S155"/>
  <c r="S156"/>
  <c r="S157"/>
  <c r="S158"/>
  <c r="S159"/>
  <c r="S160"/>
  <c r="S161"/>
  <c r="S162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R153"/>
  <c r="R154"/>
  <c r="R155"/>
  <c r="R156"/>
  <c r="R157"/>
  <c r="R158"/>
  <c r="R159"/>
  <c r="R160"/>
  <c r="R161"/>
  <c r="R162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99"/>
  <c r="Q100"/>
  <c r="Q101"/>
  <c r="Q102"/>
  <c r="Q103"/>
  <c r="Q104"/>
  <c r="Q105"/>
  <c r="Q106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30"/>
  <c r="Q131"/>
  <c r="Q132"/>
  <c r="Q133"/>
  <c r="Q134"/>
  <c r="Q135"/>
  <c r="Q136"/>
  <c r="Q137"/>
  <c r="Q138"/>
  <c r="Q139"/>
  <c r="Q140"/>
  <c r="Q141"/>
  <c r="Q142"/>
  <c r="Q143"/>
  <c r="Q144"/>
  <c r="Q145"/>
  <c r="Q146"/>
  <c r="Q147"/>
  <c r="Q148"/>
  <c r="Q149"/>
  <c r="Q150"/>
  <c r="Q151"/>
  <c r="Q152"/>
  <c r="Q153"/>
  <c r="Q154"/>
  <c r="Q155"/>
  <c r="Q156"/>
  <c r="Q157"/>
  <c r="Q158"/>
  <c r="Q159"/>
  <c r="Q160"/>
  <c r="Q161"/>
  <c r="Q162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3"/>
  <c r="S13" s="1"/>
  <c r="M14"/>
  <c r="M15"/>
  <c r="M16"/>
  <c r="M17"/>
  <c r="M18"/>
  <c r="M19"/>
  <c r="M20"/>
  <c r="M21"/>
  <c r="M22"/>
  <c r="L14"/>
  <c r="L15"/>
  <c r="L16"/>
  <c r="L17"/>
  <c r="L18"/>
  <c r="L19"/>
  <c r="L20"/>
  <c r="L21"/>
  <c r="L22"/>
  <c r="N13"/>
  <c r="M13"/>
  <c r="L13"/>
  <c r="I14"/>
  <c r="I15"/>
  <c r="I16"/>
  <c r="I17"/>
  <c r="I18"/>
  <c r="I19"/>
  <c r="I20"/>
  <c r="I21"/>
  <c r="I22"/>
  <c r="I23"/>
  <c r="I24"/>
  <c r="I25"/>
  <c r="I26"/>
  <c r="I27"/>
  <c r="H14"/>
  <c r="H15"/>
  <c r="H16"/>
  <c r="H17"/>
  <c r="H18"/>
  <c r="H19"/>
  <c r="H20"/>
  <c r="H21"/>
  <c r="H22"/>
  <c r="H23"/>
  <c r="H24"/>
  <c r="H25"/>
  <c r="H26"/>
  <c r="H27"/>
  <c r="G14"/>
  <c r="G15"/>
  <c r="G16"/>
  <c r="G17"/>
  <c r="G18"/>
  <c r="G19"/>
  <c r="G20"/>
  <c r="G21"/>
  <c r="G22"/>
  <c r="G23"/>
  <c r="G24"/>
  <c r="G25"/>
  <c r="G26"/>
  <c r="G27"/>
  <c r="I13"/>
  <c r="H13"/>
  <c r="G13"/>
  <c r="D29"/>
  <c r="D30"/>
  <c r="D31"/>
  <c r="D32"/>
  <c r="D33"/>
  <c r="C29"/>
  <c r="C30"/>
  <c r="C31"/>
  <c r="C32"/>
  <c r="C33"/>
  <c r="B29"/>
  <c r="B30"/>
  <c r="B31"/>
  <c r="B32"/>
  <c r="B33"/>
  <c r="D28"/>
  <c r="C28"/>
  <c r="B28"/>
  <c r="D14"/>
  <c r="D15"/>
  <c r="D16"/>
  <c r="D17"/>
  <c r="D18"/>
  <c r="D19"/>
  <c r="D20"/>
  <c r="D21"/>
  <c r="D22"/>
  <c r="D23"/>
  <c r="D24"/>
  <c r="C14"/>
  <c r="C15"/>
  <c r="C16"/>
  <c r="C17"/>
  <c r="C18"/>
  <c r="C19"/>
  <c r="C20"/>
  <c r="C21"/>
  <c r="C22"/>
  <c r="C23"/>
  <c r="C24"/>
  <c r="D13"/>
  <c r="C13"/>
  <c r="B6"/>
  <c r="G4" i="6" s="1"/>
  <c r="B5" i="4"/>
  <c r="B8" s="1"/>
  <c r="C7" i="6" s="1"/>
  <c r="B4" i="4"/>
  <c r="C4" i="6" s="1"/>
  <c r="B3" i="4"/>
  <c r="B7" s="1"/>
  <c r="A7" i="6" s="1"/>
  <c r="E4" l="1"/>
  <c r="Q13" i="4"/>
  <c r="T13"/>
  <c r="R13"/>
  <c r="A4" i="6"/>
</calcChain>
</file>

<file path=xl/sharedStrings.xml><?xml version="1.0" encoding="utf-8"?>
<sst xmlns="http://schemas.openxmlformats.org/spreadsheetml/2006/main" count="20130" uniqueCount="1396">
  <si>
    <t>Order_ID</t>
  </si>
  <si>
    <t>Order_Date</t>
  </si>
  <si>
    <t>Customer_ID</t>
  </si>
  <si>
    <t>Customer_Name</t>
  </si>
  <si>
    <t>Gender</t>
  </si>
  <si>
    <t>Age</t>
  </si>
  <si>
    <t>City</t>
  </si>
  <si>
    <t>State</t>
  </si>
  <si>
    <t>Category</t>
  </si>
  <si>
    <t>Product</t>
  </si>
  <si>
    <t>Quantity</t>
  </si>
  <si>
    <t>Unit_Price</t>
  </si>
  <si>
    <t>Discount</t>
  </si>
  <si>
    <t>Sales</t>
  </si>
  <si>
    <t>Cost</t>
  </si>
  <si>
    <t>Profit</t>
  </si>
  <si>
    <t>Payment_Mode</t>
  </si>
  <si>
    <t>Order_Status</t>
  </si>
  <si>
    <t>Rating</t>
  </si>
  <si>
    <t>ORD0001</t>
  </si>
  <si>
    <t>CUST005</t>
  </si>
  <si>
    <t>Nisha Verma</t>
  </si>
  <si>
    <t>Male</t>
  </si>
  <si>
    <t>Ahmedabad</t>
  </si>
  <si>
    <t>Gujarat</t>
  </si>
  <si>
    <t>Electronics</t>
  </si>
  <si>
    <t>Bluetooth Speaker</t>
  </si>
  <si>
    <t>Credit Card</t>
  </si>
  <si>
    <t>Delivered</t>
  </si>
  <si>
    <t>ORD0002</t>
  </si>
  <si>
    <t>CUST095</t>
  </si>
  <si>
    <t>Isha Mishra</t>
  </si>
  <si>
    <t>Female</t>
  </si>
  <si>
    <t>Pune</t>
  </si>
  <si>
    <t>Maharashtra</t>
  </si>
  <si>
    <t>Beauty</t>
  </si>
  <si>
    <t>Shampoo</t>
  </si>
  <si>
    <t>Debit Card</t>
  </si>
  <si>
    <t>ORD0003</t>
  </si>
  <si>
    <t>CUST070</t>
  </si>
  <si>
    <t>Vikas Gupta</t>
  </si>
  <si>
    <t>Kanpur</t>
  </si>
  <si>
    <t>Uttar Pradesh</t>
  </si>
  <si>
    <t>Clothing</t>
  </si>
  <si>
    <t>Hoodie</t>
  </si>
  <si>
    <t>ORD0004</t>
  </si>
  <si>
    <t>CUST048</t>
  </si>
  <si>
    <t>Nisha Kumar</t>
  </si>
  <si>
    <t>Lucknow</t>
  </si>
  <si>
    <t>T-Shirt</t>
  </si>
  <si>
    <t>Cash on Delivery</t>
  </si>
  <si>
    <t>Returned</t>
  </si>
  <si>
    <t>ORD0005</t>
  </si>
  <si>
    <t>CUST073</t>
  </si>
  <si>
    <t>Anjali Yadav</t>
  </si>
  <si>
    <t>Mumbai</t>
  </si>
  <si>
    <t>USB Keyboard</t>
  </si>
  <si>
    <t>ORD0006</t>
  </si>
  <si>
    <t>CUST137</t>
  </si>
  <si>
    <t>Varun Sharma</t>
  </si>
  <si>
    <t>Indore</t>
  </si>
  <si>
    <t>Madhya Pradesh</t>
  </si>
  <si>
    <t>Power Bank</t>
  </si>
  <si>
    <t>ORD0007</t>
  </si>
  <si>
    <t>CUST126</t>
  </si>
  <si>
    <t>Sahil Patel</t>
  </si>
  <si>
    <t>Net Banking</t>
  </si>
  <si>
    <t>ORD0008</t>
  </si>
  <si>
    <t>Smart Watch</t>
  </si>
  <si>
    <t>UPI</t>
  </si>
  <si>
    <t>ORD0009</t>
  </si>
  <si>
    <t>CUST148</t>
  </si>
  <si>
    <t>Rahul Jain</t>
  </si>
  <si>
    <t>Chennai</t>
  </si>
  <si>
    <t>Tamil Nadu</t>
  </si>
  <si>
    <t>Grocery</t>
  </si>
  <si>
    <t>Green Tea</t>
  </si>
  <si>
    <t>Cancelled</t>
  </si>
  <si>
    <t>ORD0010</t>
  </si>
  <si>
    <t>CUST064</t>
  </si>
  <si>
    <t>Riya Verma</t>
  </si>
  <si>
    <t>Bengaluru</t>
  </si>
  <si>
    <t>Karnataka</t>
  </si>
  <si>
    <t>ORD0011</t>
  </si>
  <si>
    <t>CUST077</t>
  </si>
  <si>
    <t>Simran Verma</t>
  </si>
  <si>
    <t>Coffee</t>
  </si>
  <si>
    <t>ORD0012</t>
  </si>
  <si>
    <t>CUST054</t>
  </si>
  <si>
    <t>Kavya Kumar</t>
  </si>
  <si>
    <t>ORD0013</t>
  </si>
  <si>
    <t>CUST020</t>
  </si>
  <si>
    <t>Sahil Kumar</t>
  </si>
  <si>
    <t>Hyderabad</t>
  </si>
  <si>
    <t>Telangana</t>
  </si>
  <si>
    <t>Denim Jacket</t>
  </si>
  <si>
    <t>ORD0014</t>
  </si>
  <si>
    <t>CUST060</t>
  </si>
  <si>
    <t>Nisha Mishra</t>
  </si>
  <si>
    <t>ORD0015</t>
  </si>
  <si>
    <t>CUST109</t>
  </si>
  <si>
    <t>Nisha Jain</t>
  </si>
  <si>
    <t>ORD0016</t>
  </si>
  <si>
    <t>CUST079</t>
  </si>
  <si>
    <t>Neha Kumar</t>
  </si>
  <si>
    <t>Chandigarh</t>
  </si>
  <si>
    <t>Dry Fruits</t>
  </si>
  <si>
    <t>ORD0017</t>
  </si>
  <si>
    <t>Moisturizer</t>
  </si>
  <si>
    <t>ORD0018</t>
  </si>
  <si>
    <t>CUST083</t>
  </si>
  <si>
    <t>Simran Gupta</t>
  </si>
  <si>
    <t>ORD0019</t>
  </si>
  <si>
    <t>CUST006</t>
  </si>
  <si>
    <t>Anjali Mehta</t>
  </si>
  <si>
    <t>Jaipur</t>
  </si>
  <si>
    <t>Rajasthan</t>
  </si>
  <si>
    <t>Sports</t>
  </si>
  <si>
    <t>Yoga Mat</t>
  </si>
  <si>
    <t>ORD0020</t>
  </si>
  <si>
    <t>CUST072</t>
  </si>
  <si>
    <t>Priya Sharma</t>
  </si>
  <si>
    <t>ORD0021</t>
  </si>
  <si>
    <t>ORD0022</t>
  </si>
  <si>
    <t>CUST103</t>
  </si>
  <si>
    <t>Sahil Mehta</t>
  </si>
  <si>
    <t>Perfume</t>
  </si>
  <si>
    <t>ORD0023</t>
  </si>
  <si>
    <t>CUST104</t>
  </si>
  <si>
    <t>Kavya Mehta</t>
  </si>
  <si>
    <t>ORD0024</t>
  </si>
  <si>
    <t>CUST093</t>
  </si>
  <si>
    <t>Karan Mehta</t>
  </si>
  <si>
    <t>ORD0025</t>
  </si>
  <si>
    <t>CUST074</t>
  </si>
  <si>
    <t>Rahul Singh</t>
  </si>
  <si>
    <t>Face Serum</t>
  </si>
  <si>
    <t>Shipped</t>
  </si>
  <si>
    <t>ORD0026</t>
  </si>
  <si>
    <t>CUST080</t>
  </si>
  <si>
    <t>Rahul Kumar</t>
  </si>
  <si>
    <t>Kolkata</t>
  </si>
  <si>
    <t>West Bengal</t>
  </si>
  <si>
    <t>ORD0027</t>
  </si>
  <si>
    <t>CUST119</t>
  </si>
  <si>
    <t>Aditya Mehta</t>
  </si>
  <si>
    <t>Bhopal</t>
  </si>
  <si>
    <t>ORD0028</t>
  </si>
  <si>
    <t>CUST124</t>
  </si>
  <si>
    <t>ORD0029</t>
  </si>
  <si>
    <t>CUST131</t>
  </si>
  <si>
    <t>Rohan Yadav</t>
  </si>
  <si>
    <t>Football</t>
  </si>
  <si>
    <t>ORD0030</t>
  </si>
  <si>
    <t>CUST069</t>
  </si>
  <si>
    <t>Rohan Gupta</t>
  </si>
  <si>
    <t>Wireless Headphones</t>
  </si>
  <si>
    <t>ORD0031</t>
  </si>
  <si>
    <t>CUST039</t>
  </si>
  <si>
    <t>Varun Jain</t>
  </si>
  <si>
    <t>ORD0032</t>
  </si>
  <si>
    <t>CUST117</t>
  </si>
  <si>
    <t>Aditya Mishra</t>
  </si>
  <si>
    <t>Home &amp; Kitchen</t>
  </si>
  <si>
    <t>Mixer Grinder</t>
  </si>
  <si>
    <t>ORD0033</t>
  </si>
  <si>
    <t>CUST012</t>
  </si>
  <si>
    <t>Amit Verma</t>
  </si>
  <si>
    <t>ORD0034</t>
  </si>
  <si>
    <t>CUST033</t>
  </si>
  <si>
    <t>Neha Sharma</t>
  </si>
  <si>
    <t>ORD0035</t>
  </si>
  <si>
    <t>CUST004</t>
  </si>
  <si>
    <t>Isha Sharma</t>
  </si>
  <si>
    <t>ORD0036</t>
  </si>
  <si>
    <t>CUST087</t>
  </si>
  <si>
    <t>Varun Gupta</t>
  </si>
  <si>
    <t>ORD0037</t>
  </si>
  <si>
    <t>CUST125</t>
  </si>
  <si>
    <t>Priya Gupta</t>
  </si>
  <si>
    <t>Patna</t>
  </si>
  <si>
    <t>Bihar</t>
  </si>
  <si>
    <t>ORD0038</t>
  </si>
  <si>
    <t>CUST059</t>
  </si>
  <si>
    <t>Sneha Mishra</t>
  </si>
  <si>
    <t>ORD0039</t>
  </si>
  <si>
    <t>CUST008</t>
  </si>
  <si>
    <t>Sneha Patel</t>
  </si>
  <si>
    <t>ORD0040</t>
  </si>
  <si>
    <t>CUST063</t>
  </si>
  <si>
    <t>Rahul Yadav</t>
  </si>
  <si>
    <t>ORD0041</t>
  </si>
  <si>
    <t>CUST098</t>
  </si>
  <si>
    <t>Sahil Yadav</t>
  </si>
  <si>
    <t>ORD0042</t>
  </si>
  <si>
    <t>CUST118</t>
  </si>
  <si>
    <t>Aditya Yadav</t>
  </si>
  <si>
    <t>Jeans</t>
  </si>
  <si>
    <t>ORD0043</t>
  </si>
  <si>
    <t>CUST089</t>
  </si>
  <si>
    <t>Varun Verma</t>
  </si>
  <si>
    <t>ORD0044</t>
  </si>
  <si>
    <t>CUST099</t>
  </si>
  <si>
    <t>ORD0045</t>
  </si>
  <si>
    <t>CUST076</t>
  </si>
  <si>
    <t>Rohan Sharma</t>
  </si>
  <si>
    <t>ORD0046</t>
  </si>
  <si>
    <t>CUST128</t>
  </si>
  <si>
    <t>ORD0047</t>
  </si>
  <si>
    <t>CUST065</t>
  </si>
  <si>
    <t>Simran Singh</t>
  </si>
  <si>
    <t>ORD0048</t>
  </si>
  <si>
    <t>CUST149</t>
  </si>
  <si>
    <t>Nisha Yadav</t>
  </si>
  <si>
    <t>Electric Kettle</t>
  </si>
  <si>
    <t>ORD0049</t>
  </si>
  <si>
    <t>CUST052</t>
  </si>
  <si>
    <t>Priya Kumar</t>
  </si>
  <si>
    <t>ORD0050</t>
  </si>
  <si>
    <t>ORD0051</t>
  </si>
  <si>
    <t>CUST102</t>
  </si>
  <si>
    <t>Rahul Sharma</t>
  </si>
  <si>
    <t>ORD0052</t>
  </si>
  <si>
    <t>ORD0053</t>
  </si>
  <si>
    <t>CUST121</t>
  </si>
  <si>
    <t>Aditya Patel</t>
  </si>
  <si>
    <t>ORD0054</t>
  </si>
  <si>
    <t>CUST078</t>
  </si>
  <si>
    <t>Simran Jain</t>
  </si>
  <si>
    <t>ORD0055</t>
  </si>
  <si>
    <t>CUST127</t>
  </si>
  <si>
    <t>Nisha Gupta</t>
  </si>
  <si>
    <t>ORD0056</t>
  </si>
  <si>
    <t>CUST139</t>
  </si>
  <si>
    <t>Bedsheet</t>
  </si>
  <si>
    <t>ORD0057</t>
  </si>
  <si>
    <t>CUST009</t>
  </si>
  <si>
    <t>Priya Yadav</t>
  </si>
  <si>
    <t>Cricket Bat</t>
  </si>
  <si>
    <t>ORD0058</t>
  </si>
  <si>
    <t>CUST026</t>
  </si>
  <si>
    <t>Arjun Jain</t>
  </si>
  <si>
    <t>ORD0059</t>
  </si>
  <si>
    <t>CUST032</t>
  </si>
  <si>
    <t>Kavya Sharma</t>
  </si>
  <si>
    <t>ORD0060</t>
  </si>
  <si>
    <t>ORD0061</t>
  </si>
  <si>
    <t>CUST085</t>
  </si>
  <si>
    <t>Amit Gupta</t>
  </si>
  <si>
    <t>ORD0062</t>
  </si>
  <si>
    <t>CUST029</t>
  </si>
  <si>
    <t>Delhi</t>
  </si>
  <si>
    <t>ORD0063</t>
  </si>
  <si>
    <t>ORD0064</t>
  </si>
  <si>
    <t>CUST030</t>
  </si>
  <si>
    <t>Sneha Gupta</t>
  </si>
  <si>
    <t>ORD0065</t>
  </si>
  <si>
    <t>CUST116</t>
  </si>
  <si>
    <t>ORD0066</t>
  </si>
  <si>
    <t>CUST016</t>
  </si>
  <si>
    <t>ORD0067</t>
  </si>
  <si>
    <t>CUST019</t>
  </si>
  <si>
    <t>Karan Verma</t>
  </si>
  <si>
    <t>ORD0068</t>
  </si>
  <si>
    <t>CUST150</t>
  </si>
  <si>
    <t>Kavya Yadav</t>
  </si>
  <si>
    <t>ORD0069</t>
  </si>
  <si>
    <t>CUST111</t>
  </si>
  <si>
    <t>Manish Yadav</t>
  </si>
  <si>
    <t>ORD0070</t>
  </si>
  <si>
    <t>CUST106</t>
  </si>
  <si>
    <t>Sahil Sharma</t>
  </si>
  <si>
    <t>ORD0071</t>
  </si>
  <si>
    <t>CUST066</t>
  </si>
  <si>
    <t>Pooja Kumar</t>
  </si>
  <si>
    <t>ORD0072</t>
  </si>
  <si>
    <t>ORD0073</t>
  </si>
  <si>
    <t>CUST144</t>
  </si>
  <si>
    <t>Sahil Mishra</t>
  </si>
  <si>
    <t>ORD0074</t>
  </si>
  <si>
    <t>ORD0075</t>
  </si>
  <si>
    <t>Running Shoes</t>
  </si>
  <si>
    <t>ORD0076</t>
  </si>
  <si>
    <t>CUST147</t>
  </si>
  <si>
    <t>Arjun Mishra</t>
  </si>
  <si>
    <t>ORD0077</t>
  </si>
  <si>
    <t>ORD0078</t>
  </si>
  <si>
    <t>CUST145</t>
  </si>
  <si>
    <t>ORD0079</t>
  </si>
  <si>
    <t>CUST056</t>
  </si>
  <si>
    <t>Dinner Set</t>
  </si>
  <si>
    <t>ORD0080</t>
  </si>
  <si>
    <t>CUST146</t>
  </si>
  <si>
    <t>Kavya Verma</t>
  </si>
  <si>
    <t>ORD0081</t>
  </si>
  <si>
    <t>CUST021</t>
  </si>
  <si>
    <t>Riya Jain</t>
  </si>
  <si>
    <t>ORD0082</t>
  </si>
  <si>
    <t>ORD0083</t>
  </si>
  <si>
    <t>ORD0084</t>
  </si>
  <si>
    <t>CUST002</t>
  </si>
  <si>
    <t>Riya Singh</t>
  </si>
  <si>
    <t>ORD0085</t>
  </si>
  <si>
    <t>ORD0086</t>
  </si>
  <si>
    <t>CUST129</t>
  </si>
  <si>
    <t>Amit Sharma</t>
  </si>
  <si>
    <t>ORD0087</t>
  </si>
  <si>
    <t>ORD0088</t>
  </si>
  <si>
    <t>ORD0089</t>
  </si>
  <si>
    <t>ORD0090</t>
  </si>
  <si>
    <t>CUST057</t>
  </si>
  <si>
    <t>Manish Kumar</t>
  </si>
  <si>
    <t>ORD0091</t>
  </si>
  <si>
    <t>CUST090</t>
  </si>
  <si>
    <t>ORD0092</t>
  </si>
  <si>
    <t>CUST040</t>
  </si>
  <si>
    <t>ORD0093</t>
  </si>
  <si>
    <t>CUST115</t>
  </si>
  <si>
    <t>Amit Mehta</t>
  </si>
  <si>
    <t>ORD0094</t>
  </si>
  <si>
    <t>ORD0095</t>
  </si>
  <si>
    <t>CUST010</t>
  </si>
  <si>
    <t>Amit Jain</t>
  </si>
  <si>
    <t>ORD0096</t>
  </si>
  <si>
    <t>ORD0097</t>
  </si>
  <si>
    <t>ORD0098</t>
  </si>
  <si>
    <t>CUST130</t>
  </si>
  <si>
    <t>Vikas Sharma</t>
  </si>
  <si>
    <t>ORD0099</t>
  </si>
  <si>
    <t>CUST134</t>
  </si>
  <si>
    <t>Pooja Singh</t>
  </si>
  <si>
    <t>ORD0100</t>
  </si>
  <si>
    <t>CUST014</t>
  </si>
  <si>
    <t>Simran Patel</t>
  </si>
  <si>
    <t>ORD0101</t>
  </si>
  <si>
    <t>ORD0102</t>
  </si>
  <si>
    <t>ORD0103</t>
  </si>
  <si>
    <t>ORD0104</t>
  </si>
  <si>
    <t>CUST047</t>
  </si>
  <si>
    <t>Neha Verma</t>
  </si>
  <si>
    <t>ORD0105</t>
  </si>
  <si>
    <t>ORD0106</t>
  </si>
  <si>
    <t>CUST034</t>
  </si>
  <si>
    <t>Kavya Singh</t>
  </si>
  <si>
    <t>ORD0107</t>
  </si>
  <si>
    <t>CUST113</t>
  </si>
  <si>
    <t>Arjun Patel</t>
  </si>
  <si>
    <t>ORD0108</t>
  </si>
  <si>
    <t>ORD0109</t>
  </si>
  <si>
    <t>ORD0110</t>
  </si>
  <si>
    <t>ORD0111</t>
  </si>
  <si>
    <t>CUST133</t>
  </si>
  <si>
    <t>Anjali Mishra</t>
  </si>
  <si>
    <t>ORD0112</t>
  </si>
  <si>
    <t>CUST038</t>
  </si>
  <si>
    <t>ORD0113</t>
  </si>
  <si>
    <t>ORD0114</t>
  </si>
  <si>
    <t>CUST082</t>
  </si>
  <si>
    <t>ORD0115</t>
  </si>
  <si>
    <t>CUST036</t>
  </si>
  <si>
    <t>Isha Mehta</t>
  </si>
  <si>
    <t>ORD0116</t>
  </si>
  <si>
    <t>ORD0117</t>
  </si>
  <si>
    <t>CUST062</t>
  </si>
  <si>
    <t>ORD0118</t>
  </si>
  <si>
    <t>CUST132</t>
  </si>
  <si>
    <t>Vikas Yadav</t>
  </si>
  <si>
    <t>ORD0119</t>
  </si>
  <si>
    <t>ORD0120</t>
  </si>
  <si>
    <t>CUST135</t>
  </si>
  <si>
    <t>Varun Mehta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</si>
  <si>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</si>
  <si>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</si>
  <si>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</si>
  <si>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</si>
  <si>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</si>
  <si>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</si>
  <si>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</si>
  <si>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</si>
  <si>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</si>
  <si>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</si>
  <si>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CUST114</t>
  </si>
  <si>
    <t>Rohan Verma</t>
  </si>
  <si>
    <t>ORD0131</t>
  </si>
  <si>
    <t>CUST015</t>
  </si>
  <si>
    <t>Isha Kumar</t>
  </si>
  <si>
    <t>ORD0132</t>
  </si>
  <si>
    <t>ORD0133</t>
  </si>
  <si>
    <t>ORD0134</t>
  </si>
  <si>
    <t>ORD0135</t>
  </si>
  <si>
    <t>CUST007</t>
  </si>
  <si>
    <t>Vikas Patel</t>
  </si>
  <si>
    <t>ORD0136</t>
  </si>
  <si>
    <t>CUST068</t>
  </si>
  <si>
    <t>Arjun Singh</t>
  </si>
  <si>
    <t>ORD0137</t>
  </si>
  <si>
    <t>ORD0138</t>
  </si>
  <si>
    <t>CUST141</t>
  </si>
  <si>
    <t>ORD0139</t>
  </si>
  <si>
    <t>ORD0140</t>
  </si>
  <si>
    <t>ORD0141</t>
  </si>
  <si>
    <t>ORD0142</t>
  </si>
  <si>
    <t>ORD0143</t>
  </si>
  <si>
    <t>ORD0144</t>
  </si>
  <si>
    <t>ORD0145</t>
  </si>
  <si>
    <t>CUST051</t>
  </si>
  <si>
    <t>ORD0146</t>
  </si>
  <si>
    <t>CUST044</t>
  </si>
  <si>
    <t>Vikas Singh</t>
  </si>
  <si>
    <t>ORD0147</t>
  </si>
  <si>
    <t>ORD0148</t>
  </si>
  <si>
    <t>ORD0149</t>
  </si>
  <si>
    <t>ORD0150</t>
  </si>
  <si>
    <t>CUST053</t>
  </si>
  <si>
    <t>Arjun Yadav</t>
  </si>
  <si>
    <t>ORD0151</t>
  </si>
  <si>
    <t>ORD0152</t>
  </si>
  <si>
    <t>ORD0153</t>
  </si>
  <si>
    <t>ORD0154</t>
  </si>
  <si>
    <t>ORD0155</t>
  </si>
  <si>
    <t>ORD0156</t>
  </si>
  <si>
    <t>ORD0157</t>
  </si>
  <si>
    <t>CUST035</t>
  </si>
  <si>
    <t>Kavya Jain</t>
  </si>
  <si>
    <t>ORD0158</t>
  </si>
  <si>
    <t>ORD0159</t>
  </si>
  <si>
    <t>ORD0160</t>
  </si>
  <si>
    <t>CUST143</t>
  </si>
  <si>
    <t>ORD0161</t>
  </si>
  <si>
    <t>ORD0162</t>
  </si>
  <si>
    <t>ORD0163</t>
  </si>
  <si>
    <t>ORD0164</t>
  </si>
  <si>
    <t>ORD0165</t>
  </si>
  <si>
    <t>CUST122</t>
  </si>
  <si>
    <t>ORD0166</t>
  </si>
  <si>
    <t>ORD0167</t>
  </si>
  <si>
    <t>CUST081</t>
  </si>
  <si>
    <t>Neha Gupta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</si>
  <si>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</si>
  <si>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</si>
  <si>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</si>
  <si>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</si>
  <si>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</si>
  <si>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</si>
  <si>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</si>
  <si>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</si>
  <si>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</si>
  <si>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</si>
  <si>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CUST123</t>
  </si>
  <si>
    <t>Varun Mishra</t>
  </si>
  <si>
    <t>ORD0178</t>
  </si>
  <si>
    <t>ORD0179</t>
  </si>
  <si>
    <t>ORD0180</t>
  </si>
  <si>
    <t>CUST028</t>
  </si>
  <si>
    <t>Pooja Mehta</t>
  </si>
  <si>
    <t>ORD0181</t>
  </si>
  <si>
    <t>ORD0182</t>
  </si>
  <si>
    <t>ORD0183</t>
  </si>
  <si>
    <t>CUST045</t>
  </si>
  <si>
    <t>Nisha Mehta</t>
  </si>
  <si>
    <t>ORD0184</t>
  </si>
  <si>
    <t>ORD0185</t>
  </si>
  <si>
    <t>ORD0186</t>
  </si>
  <si>
    <t>CUST061</t>
  </si>
  <si>
    <t>ORD0187</t>
  </si>
  <si>
    <t>ORD0188</t>
  </si>
  <si>
    <t>ORD0189</t>
  </si>
  <si>
    <t>CUST138</t>
  </si>
  <si>
    <t>ORD0190</t>
  </si>
  <si>
    <t>ORD0191</t>
  </si>
  <si>
    <t>ORD0192</t>
  </si>
  <si>
    <t>ORD0193</t>
  </si>
  <si>
    <t>ORD0194</t>
  </si>
  <si>
    <t>ORD0195</t>
  </si>
  <si>
    <t>ORD0196</t>
  </si>
  <si>
    <t>CUST108</t>
  </si>
  <si>
    <t>Riya Mishra</t>
  </si>
  <si>
    <t>ORD0197</t>
  </si>
  <si>
    <t>ORD0198</t>
  </si>
  <si>
    <t>CUST058</t>
  </si>
  <si>
    <t>Amit Mishra</t>
  </si>
  <si>
    <t>ORD0199</t>
  </si>
  <si>
    <t>ORD0200</t>
  </si>
  <si>
    <t>ORD0201</t>
  </si>
  <si>
    <t>ORD0202</t>
  </si>
  <si>
    <t>ORD0203</t>
  </si>
  <si>
    <t>ORD0204</t>
  </si>
  <si>
    <t>ORD0205</t>
  </si>
  <si>
    <t>CUST110</t>
  </si>
  <si>
    <t>Sahil Gupta</t>
  </si>
  <si>
    <t>ORD0206</t>
  </si>
  <si>
    <t>CUST107</t>
  </si>
  <si>
    <t>ORD0207</t>
  </si>
  <si>
    <t>ORD0208</t>
  </si>
  <si>
    <t>ORD0209</t>
  </si>
  <si>
    <t>ORD0210</t>
  </si>
  <si>
    <t>CUST011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</si>
  <si>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</si>
  <si>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</si>
  <si>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</si>
  <si>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</si>
  <si>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</si>
  <si>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</si>
  <si>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</si>
  <si>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</si>
  <si>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</si>
  <si>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CUST013</t>
  </si>
  <si>
    <t>ORD0220</t>
  </si>
  <si>
    <t>ORD0221</t>
  </si>
  <si>
    <t>ORD0222</t>
  </si>
  <si>
    <t>ORD0223</t>
  </si>
  <si>
    <t>CUST046</t>
  </si>
  <si>
    <t>Priya Mehta</t>
  </si>
  <si>
    <t>ORD0224</t>
  </si>
  <si>
    <t>ORD0225</t>
  </si>
  <si>
    <t>ORD0226</t>
  </si>
  <si>
    <t>CUST097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</si>
  <si>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</si>
  <si>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</si>
  <si>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</si>
  <si>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</si>
  <si>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</si>
  <si>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</si>
  <si>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</si>
  <si>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</si>
  <si>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</si>
  <si>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</si>
  <si>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CUST100</t>
  </si>
  <si>
    <t>Manish Mishra</t>
  </si>
  <si>
    <t>ORD0237</t>
  </si>
  <si>
    <t>ORD0238</t>
  </si>
  <si>
    <t>ORD0239</t>
  </si>
  <si>
    <t>CUST084</t>
  </si>
  <si>
    <t>Rahul Verma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</si>
  <si>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</si>
  <si>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</si>
  <si>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</si>
  <si>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</si>
  <si>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</si>
  <si>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</si>
  <si>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</si>
  <si>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</si>
  <si>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</si>
  <si>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</si>
  <si>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</si>
  <si>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</si>
  <si>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</si>
  <si>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</si>
  <si>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</si>
  <si>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</si>
  <si>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</si>
  <si>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</si>
  <si>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</si>
  <si>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CUST043</t>
  </si>
  <si>
    <t>Varun Yadav</t>
  </si>
  <si>
    <t>ORD0259</t>
  </si>
  <si>
    <t>ORD0260</t>
  </si>
  <si>
    <t>ORD0261</t>
  </si>
  <si>
    <t>ORD0262</t>
  </si>
  <si>
    <t>ORD0263</t>
  </si>
  <si>
    <t>ORD0264</t>
  </si>
  <si>
    <t>ORD0265</t>
  </si>
  <si>
    <t>CUST031</t>
  </si>
  <si>
    <t>Simran Kumar</t>
  </si>
  <si>
    <t>ORD0266</t>
  </si>
  <si>
    <t>ORD0267</t>
  </si>
  <si>
    <t>ORD0268</t>
  </si>
  <si>
    <t>ORD0269</t>
  </si>
  <si>
    <t>CUST105</t>
  </si>
  <si>
    <t>Sneha Mehta</t>
  </si>
  <si>
    <t>ORD0270</t>
  </si>
  <si>
    <t>ORD0271</t>
  </si>
  <si>
    <t>ORD0272</t>
  </si>
  <si>
    <t>CUST140</t>
  </si>
  <si>
    <t>ORD0273</t>
  </si>
  <si>
    <t>ORD0274</t>
  </si>
  <si>
    <t>ORD0275</t>
  </si>
  <si>
    <t>ORD0276</t>
  </si>
  <si>
    <t>ORD0277</t>
  </si>
  <si>
    <t>CUST025</t>
  </si>
  <si>
    <t>ORD0278</t>
  </si>
  <si>
    <t>ORD0279</t>
  </si>
  <si>
    <t>ORD0280</t>
  </si>
  <si>
    <t>ORD0281</t>
  </si>
  <si>
    <t>ORD0282</t>
  </si>
  <si>
    <t>CUST055</t>
  </si>
  <si>
    <t>Priya Mishra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</si>
  <si>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</si>
  <si>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</si>
  <si>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</si>
  <si>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</si>
  <si>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</si>
  <si>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</si>
  <si>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</si>
  <si>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</si>
  <si>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CUST027</t>
  </si>
  <si>
    <t>Riya Gupta</t>
  </si>
  <si>
    <t>ORD0291</t>
  </si>
  <si>
    <t>CUST037</t>
  </si>
  <si>
    <t>ORD0292</t>
  </si>
  <si>
    <t>ORD0293</t>
  </si>
  <si>
    <t>ORD0294</t>
  </si>
  <si>
    <t>ORD0295</t>
  </si>
  <si>
    <t>CUST049</t>
  </si>
  <si>
    <t>Amit Yadav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</si>
  <si>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</si>
  <si>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</si>
  <si>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</si>
  <si>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</si>
  <si>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</si>
  <si>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</si>
  <si>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</si>
  <si>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</si>
  <si>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</si>
  <si>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</si>
  <si>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</si>
  <si>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</si>
  <si>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</si>
  <si>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</si>
  <si>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</si>
  <si>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</si>
  <si>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</si>
  <si>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</si>
  <si>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CUST075</t>
  </si>
  <si>
    <t>Priya Patel</t>
  </si>
  <si>
    <t>ORD0314</t>
  </si>
  <si>
    <t>ORD0315</t>
  </si>
  <si>
    <t>ORD0316</t>
  </si>
  <si>
    <t>ORD0317</t>
  </si>
  <si>
    <t>ORD0318</t>
  </si>
  <si>
    <t>ORD0319</t>
  </si>
  <si>
    <t>ORD0320</t>
  </si>
  <si>
    <t>CUST101</t>
  </si>
  <si>
    <t>Pooja Verma</t>
  </si>
  <si>
    <t>ORD0321</t>
  </si>
  <si>
    <t>ORD0322</t>
  </si>
  <si>
    <t>ORD0323</t>
  </si>
  <si>
    <t>CUST024</t>
  </si>
  <si>
    <t>Rohan Kumar</t>
  </si>
  <si>
    <t>ORD0324</t>
  </si>
  <si>
    <t>ORD0325</t>
  </si>
  <si>
    <t>CUST067</t>
  </si>
  <si>
    <t>ORD0326</t>
  </si>
  <si>
    <t>ORD0327</t>
  </si>
  <si>
    <t>ORD0328</t>
  </si>
  <si>
    <t>ORD0329</t>
  </si>
  <si>
    <t>ORD0330</t>
  </si>
  <si>
    <t>ORD0331</t>
  </si>
  <si>
    <t>CUST071</t>
  </si>
  <si>
    <t>Priya Singh</t>
  </si>
  <si>
    <t>ORD0332</t>
  </si>
  <si>
    <t>ORD0333</t>
  </si>
  <si>
    <t>ORD0334</t>
  </si>
  <si>
    <t>CUST092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</si>
  <si>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</si>
  <si>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</si>
  <si>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</si>
  <si>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</si>
  <si>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</si>
  <si>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</si>
  <si>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</si>
  <si>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</si>
  <si>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</si>
  <si>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CUST094</t>
  </si>
  <si>
    <t>ORD0344</t>
  </si>
  <si>
    <t>ORD0345</t>
  </si>
  <si>
    <t>ORD0346</t>
  </si>
  <si>
    <t>ORD0347</t>
  </si>
  <si>
    <t>ORD0348</t>
  </si>
  <si>
    <t>ORD0349</t>
  </si>
  <si>
    <t>CUST018</t>
  </si>
  <si>
    <t>Aditya Gupta</t>
  </si>
  <si>
    <t>ORD0350</t>
  </si>
  <si>
    <t>ORD0351</t>
  </si>
  <si>
    <t>ORD0352</t>
  </si>
  <si>
    <t>ORD0353</t>
  </si>
  <si>
    <t>CUST042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</si>
  <si>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</si>
  <si>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</si>
  <si>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</si>
  <si>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</si>
  <si>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</si>
  <si>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</si>
  <si>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</si>
  <si>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</si>
  <si>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</si>
  <si>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</si>
  <si>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</si>
  <si>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</si>
  <si>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</si>
  <si>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</si>
  <si>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</si>
  <si>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CUST023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</si>
  <si>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</si>
  <si>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</si>
  <si>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</si>
  <si>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</si>
  <si>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</si>
  <si>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</si>
  <si>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</si>
  <si>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</si>
  <si>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</si>
  <si>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</si>
  <si>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</si>
  <si>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</si>
  <si>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CUST142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</si>
  <si>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</si>
  <si>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</si>
  <si>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</si>
  <si>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</si>
  <si>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</si>
  <si>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</si>
  <si>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</si>
  <si>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</si>
  <si>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</si>
  <si>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</si>
  <si>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</si>
  <si>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</si>
  <si>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</si>
  <si>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</si>
  <si>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CUST136</t>
  </si>
  <si>
    <t>ORD0395</t>
  </si>
  <si>
    <t>ORD0396</t>
  </si>
  <si>
    <t>CUST086</t>
  </si>
  <si>
    <t>Karan Sharma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</si>
  <si>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</si>
  <si>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</si>
  <si>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</si>
  <si>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</si>
  <si>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</si>
  <si>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</si>
  <si>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</si>
  <si>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</si>
  <si>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</si>
  <si>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</si>
  <si>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</si>
  <si>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</si>
  <si>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</si>
  <si>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</si>
  <si>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</si>
  <si>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</si>
  <si>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</si>
  <si>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</si>
  <si>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</si>
  <si>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</si>
  <si>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</si>
  <si>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CUST041</t>
  </si>
  <si>
    <t>Karan Singh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</si>
  <si>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</si>
  <si>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</si>
  <si>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</si>
  <si>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</si>
  <si>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</si>
  <si>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</si>
  <si>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</si>
  <si>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</si>
  <si>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</si>
  <si>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</si>
  <si>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</si>
  <si>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</si>
  <si>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CUST001</t>
  </si>
  <si>
    <t>Arjun Verma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</si>
  <si>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</si>
  <si>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</si>
  <si>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</si>
  <si>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</si>
  <si>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</si>
  <si>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</si>
  <si>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</si>
  <si>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</si>
  <si>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</si>
  <si>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</si>
  <si>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</si>
  <si>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</si>
  <si>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</si>
  <si>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</si>
  <si>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</si>
  <si>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</si>
  <si>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</si>
  <si>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</si>
  <si>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</si>
  <si>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</si>
  <si>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</si>
  <si>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</si>
  <si>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</si>
  <si>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</si>
  <si>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</si>
  <si>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</si>
  <si>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</si>
  <si>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CUST050</t>
  </si>
  <si>
    <t>Riya Sharma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</si>
  <si>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</si>
  <si>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</si>
  <si>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</si>
  <si>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</si>
  <si>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</si>
  <si>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</si>
  <si>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</si>
  <si>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</si>
  <si>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</si>
  <si>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</si>
  <si>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CUST022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</si>
  <si>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</si>
  <si>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</si>
  <si>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</si>
  <si>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</si>
  <si>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</si>
  <si>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</si>
  <si>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</si>
  <si>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</si>
  <si>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</si>
  <si>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</si>
  <si>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</si>
  <si>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</si>
  <si>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</si>
  <si>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</si>
  <si>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</si>
  <si>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CUST017</t>
  </si>
  <si>
    <t>Priya Verma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</si>
  <si>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</si>
  <si>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</si>
  <si>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</si>
  <si>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</si>
  <si>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</si>
  <si>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</si>
  <si>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</si>
  <si>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</si>
  <si>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</si>
  <si>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</si>
  <si>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</si>
  <si>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</si>
  <si>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</si>
  <si>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</si>
  <si>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</si>
  <si>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</si>
  <si>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</si>
  <si>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</si>
  <si>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</si>
  <si>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</si>
  <si>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</si>
  <si>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</si>
  <si>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</si>
  <si>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</si>
  <si>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</si>
  <si>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</si>
  <si>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</si>
  <si>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</si>
  <si>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CUST003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</si>
  <si>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</si>
  <si>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</si>
  <si>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</si>
  <si>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</si>
  <si>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</si>
  <si>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</si>
  <si>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</si>
  <si>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</si>
  <si>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</si>
  <si>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</si>
  <si>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</si>
  <si>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</si>
  <si>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</si>
  <si>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</si>
  <si>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CUST096</t>
  </si>
  <si>
    <t>Rahul Gupta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</si>
  <si>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</si>
  <si>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</si>
  <si>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</si>
  <si>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</si>
  <si>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</si>
  <si>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</si>
  <si>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</si>
  <si>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</si>
  <si>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</si>
  <si>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</si>
  <si>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</si>
  <si>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</si>
  <si>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</si>
  <si>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</si>
  <si>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</si>
  <si>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</si>
  <si>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</si>
  <si>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</si>
  <si>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</si>
  <si>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</si>
  <si>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</si>
  <si>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</si>
  <si>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</si>
  <si>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</si>
  <si>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</si>
  <si>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</si>
  <si>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</si>
  <si>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</si>
  <si>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</si>
  <si>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</si>
  <si>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</si>
  <si>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</si>
  <si>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</si>
  <si>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</si>
  <si>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</si>
  <si>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</si>
  <si>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</si>
  <si>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</si>
  <si>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</si>
  <si>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</si>
  <si>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</si>
  <si>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</si>
  <si>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</si>
  <si>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</si>
  <si>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</si>
  <si>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</si>
  <si>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</si>
  <si>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</si>
  <si>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</si>
  <si>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</si>
  <si>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</si>
  <si>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</si>
  <si>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</si>
  <si>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</si>
  <si>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</si>
  <si>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</si>
  <si>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</si>
  <si>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</si>
  <si>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</si>
  <si>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</si>
  <si>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</si>
  <si>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</si>
  <si>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</si>
  <si>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</si>
  <si>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</si>
  <si>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</si>
  <si>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</si>
  <si>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</si>
  <si>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</si>
  <si>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</si>
  <si>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</si>
  <si>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</si>
  <si>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</si>
  <si>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</si>
  <si>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</si>
  <si>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</si>
  <si>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</si>
  <si>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</si>
  <si>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</si>
  <si>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</si>
  <si>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</si>
  <si>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</si>
  <si>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</si>
  <si>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</si>
  <si>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</si>
  <si>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</si>
  <si>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</si>
  <si>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</si>
  <si>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</si>
  <si>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</si>
  <si>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</si>
  <si>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</si>
  <si>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</si>
  <si>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</si>
  <si>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</si>
  <si>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</si>
  <si>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</si>
  <si>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</si>
  <si>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</si>
  <si>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</si>
  <si>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</si>
  <si>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</si>
  <si>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</si>
  <si>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</si>
  <si>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</si>
  <si>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</si>
  <si>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</si>
  <si>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</si>
  <si>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</si>
  <si>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</si>
  <si>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</si>
  <si>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</si>
  <si>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</si>
  <si>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</si>
  <si>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</si>
  <si>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</si>
  <si>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</si>
  <si>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</si>
  <si>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</si>
  <si>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</si>
  <si>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</si>
  <si>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</si>
  <si>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CUST091</t>
  </si>
  <si>
    <t>Nisha Singh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</si>
  <si>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</si>
  <si>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</si>
  <si>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</si>
  <si>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</si>
  <si>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</si>
  <si>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</si>
  <si>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</si>
  <si>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</si>
  <si>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</si>
  <si>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</si>
  <si>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</si>
  <si>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</si>
  <si>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</si>
  <si>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</si>
  <si>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</si>
  <si>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</si>
  <si>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</si>
  <si>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</si>
  <si>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</si>
  <si>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</si>
  <si>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</si>
  <si>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</si>
  <si>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</si>
  <si>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</si>
  <si>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</si>
  <si>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</si>
  <si>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</si>
  <si>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</si>
  <si>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</si>
  <si>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</si>
  <si>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</si>
  <si>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</si>
  <si>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</si>
  <si>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</si>
  <si>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</si>
  <si>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</si>
  <si>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CUST112</t>
  </si>
  <si>
    <t>Sahil Singh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</si>
  <si>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</si>
  <si>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</si>
  <si>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</si>
  <si>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</si>
  <si>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</si>
  <si>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</si>
  <si>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</si>
  <si>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</si>
  <si>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</si>
  <si>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</si>
  <si>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</si>
  <si>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</si>
  <si>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</si>
  <si>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CUST088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</si>
  <si>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</si>
  <si>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</si>
  <si>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</si>
  <si>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</si>
  <si>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</si>
  <si>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</si>
  <si>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</si>
  <si>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</si>
  <si>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</si>
  <si>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</si>
  <si>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</si>
  <si>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</si>
  <si>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</si>
  <si>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</si>
  <si>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</si>
  <si>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</si>
  <si>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</si>
  <si>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</si>
  <si>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</si>
  <si>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</si>
  <si>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</si>
  <si>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</si>
  <si>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</si>
  <si>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</si>
  <si>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</si>
  <si>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</si>
  <si>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</si>
  <si>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</si>
  <si>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</si>
  <si>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</si>
  <si>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</si>
  <si>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</si>
  <si>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</si>
  <si>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</si>
  <si>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</si>
  <si>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</si>
  <si>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</si>
  <si>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</si>
  <si>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</si>
  <si>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</si>
  <si>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</si>
  <si>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</si>
  <si>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</si>
  <si>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</si>
  <si>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</si>
  <si>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</si>
  <si>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</si>
  <si>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</si>
  <si>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</si>
  <si>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</si>
  <si>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</si>
  <si>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</si>
  <si>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</si>
  <si>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</si>
  <si>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</si>
  <si>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</si>
  <si>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</si>
  <si>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</si>
  <si>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</si>
  <si>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</si>
  <si>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</si>
  <si>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</si>
  <si>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</si>
  <si>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</si>
  <si>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</si>
  <si>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</si>
  <si>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</si>
  <si>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</si>
  <si>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</si>
  <si>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</si>
  <si>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</si>
  <si>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</si>
  <si>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</si>
  <si>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</si>
  <si>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</si>
  <si>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</si>
  <si>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</si>
  <si>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</si>
  <si>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</si>
  <si>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</si>
  <si>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</si>
  <si>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</si>
  <si>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</si>
  <si>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</si>
  <si>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</si>
  <si>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</si>
  <si>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</si>
  <si>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</si>
  <si>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</si>
  <si>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</si>
  <si>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</si>
  <si>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</si>
  <si>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</si>
  <si>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</si>
  <si>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</si>
  <si>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</si>
  <si>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</si>
  <si>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</si>
  <si>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</si>
  <si>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</si>
  <si>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</si>
  <si>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</si>
  <si>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</si>
  <si>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</si>
  <si>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</si>
  <si>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</si>
  <si>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</si>
  <si>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</si>
  <si>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</si>
  <si>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</si>
  <si>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</si>
  <si>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</si>
  <si>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</si>
  <si>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</si>
  <si>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</si>
  <si>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</si>
  <si>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</si>
  <si>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</si>
  <si>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</si>
  <si>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</si>
  <si>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</si>
  <si>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</si>
  <si>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</si>
  <si>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</si>
  <si>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</si>
  <si>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</si>
  <si>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</si>
  <si>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</si>
  <si>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</si>
  <si>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</si>
  <si>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</si>
  <si>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</si>
  <si>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</si>
  <si>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</si>
  <si>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</si>
  <si>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</si>
  <si>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</si>
  <si>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</si>
  <si>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</si>
  <si>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</si>
  <si>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</si>
  <si>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</si>
  <si>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</si>
  <si>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</si>
  <si>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</si>
  <si>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CUST120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</si>
  <si>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</si>
  <si>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</si>
  <si>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</si>
  <si>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</si>
  <si>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</si>
  <si>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</si>
  <si>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</si>
  <si>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</si>
  <si>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</si>
  <si>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</si>
  <si>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</si>
  <si>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</si>
  <si>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</si>
  <si>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</si>
  <si>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</si>
  <si>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</si>
  <si>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</si>
  <si>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</si>
  <si>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</si>
  <si>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</si>
  <si>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</si>
  <si>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</si>
  <si>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</si>
  <si>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</si>
  <si>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</si>
  <si>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</si>
  <si>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</si>
  <si>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</si>
  <si>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</si>
  <si>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</si>
  <si>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</si>
  <si>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</si>
  <si>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</si>
  <si>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</si>
  <si>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</si>
  <si>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</si>
  <si>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</si>
  <si>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</si>
  <si>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</si>
  <si>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</si>
  <si>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</si>
  <si>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</si>
  <si>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</si>
  <si>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</si>
  <si>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</si>
  <si>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</si>
  <si>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</si>
  <si>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</si>
  <si>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</si>
  <si>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</si>
  <si>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</si>
  <si>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</si>
  <si>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</si>
  <si>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</si>
  <si>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</si>
  <si>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</si>
  <si>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</si>
  <si>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</si>
  <si>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</si>
  <si>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</si>
  <si>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</si>
  <si>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</si>
  <si>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</si>
  <si>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</si>
  <si>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</si>
  <si>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</si>
  <si>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</si>
  <si>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</si>
  <si>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</si>
  <si>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</si>
  <si>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</si>
  <si>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</si>
  <si>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</si>
  <si>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</si>
  <si>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</si>
  <si>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</si>
  <si>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</si>
  <si>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</si>
  <si>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</si>
  <si>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</si>
  <si>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</si>
  <si>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</si>
  <si>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</si>
  <si>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</si>
  <si>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</si>
  <si>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</si>
  <si>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</si>
  <si>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</si>
  <si>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</si>
  <si>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</si>
  <si>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</si>
  <si>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</si>
  <si>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</si>
  <si>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</si>
  <si>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</si>
  <si>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</si>
  <si>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</si>
  <si>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</si>
  <si>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</si>
  <si>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</si>
  <si>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</si>
  <si>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</si>
  <si>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</si>
  <si>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</si>
  <si>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</si>
  <si>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</si>
  <si>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</si>
  <si>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</si>
  <si>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</si>
  <si>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</si>
  <si>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</si>
  <si>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</si>
  <si>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</si>
  <si>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</si>
  <si>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</si>
  <si>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</si>
  <si>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</si>
  <si>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</si>
  <si>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</si>
  <si>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</si>
  <si>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</si>
  <si>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</si>
  <si>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</si>
  <si>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</si>
  <si>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</si>
  <si>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</si>
  <si>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</si>
  <si>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</si>
  <si>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</si>
  <si>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</si>
  <si>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</si>
  <si>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</si>
  <si>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</si>
  <si>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</si>
  <si>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</si>
  <si>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</si>
  <si>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</si>
  <si>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</si>
  <si>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</si>
  <si>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</si>
  <si>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</si>
  <si>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</si>
  <si>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</si>
  <si>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</si>
  <si>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</si>
  <si>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</si>
  <si>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</si>
  <si>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</si>
  <si>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</si>
  <si>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</si>
  <si>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</si>
  <si>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</si>
  <si>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</si>
  <si>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</si>
  <si>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</si>
  <si>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</si>
  <si>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</si>
  <si>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</si>
  <si>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</si>
  <si>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</si>
  <si>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</si>
  <si>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E-Commerce Sales &amp; Customer Analytics Project</t>
  </si>
  <si>
    <t>Dataset</t>
  </si>
  <si>
    <t>1,000 realistic transaction records</t>
  </si>
  <si>
    <t>Customers</t>
  </si>
  <si>
    <t>150 customer IDs with repeat purchases</t>
  </si>
  <si>
    <t>Period</t>
  </si>
  <si>
    <t>2025-01-01 to 2026-09-01</t>
  </si>
  <si>
    <t>Next step</t>
  </si>
  <si>
    <t>Copy Raw_Data into your project workbook, then build PivotTables and the dashboard.</t>
  </si>
  <si>
    <t>E-Commerce Sales Analysis</t>
  </si>
  <si>
    <t>Total Sales</t>
  </si>
  <si>
    <t>Total Orders</t>
  </si>
  <si>
    <t>Total Profit</t>
  </si>
  <si>
    <t>Total Customers</t>
  </si>
  <si>
    <t>Average Order Value</t>
  </si>
  <si>
    <t>Profit Margin</t>
  </si>
  <si>
    <t>Monthly Sales Analysis</t>
  </si>
  <si>
    <t>Month</t>
  </si>
  <si>
    <t>Orders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</si>
  <si>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</si>
  <si>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</si>
  <si>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</si>
  <si>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</si>
  <si>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</si>
  <si>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</si>
  <si>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</si>
  <si>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</si>
  <si>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</si>
  <si>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</si>
  <si>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</si>
  <si>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</si>
  <si>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 Analysis</t>
  </si>
  <si>
    <t>Sports &amp; Fitness</t>
  </si>
  <si>
    <t>State Analysis</t>
  </si>
  <si>
    <t>Haryana</t>
  </si>
  <si>
    <t>Punjab</t>
  </si>
  <si>
    <t>Odisha</t>
  </si>
  <si>
    <t>Kerala</t>
  </si>
  <si>
    <t>Top Products Analysis</t>
  </si>
  <si>
    <t>Customer Analytics</t>
  </si>
  <si>
    <t>Customer ID</t>
  </si>
  <si>
    <t>Customer Name</t>
  </si>
  <si>
    <t>TOTAL SALES</t>
  </si>
  <si>
    <t>TOTAL ORDERS</t>
  </si>
  <si>
    <t>TOTAL PROFIT</t>
  </si>
  <si>
    <t>TOTAL CUSTOMERS</t>
  </si>
  <si>
    <t>AVERAGE ORDER VALUE</t>
  </si>
  <si>
    <t>PROFIT MARGIN</t>
  </si>
  <si>
    <t xml:space="preserve"> E-COMMERCE SALES &amp; CUSTOMER ANALYTICS DASHBOARD</t>
  </si>
</sst>
</file>

<file path=xl/styles.xml><?xml version="1.0" encoding="utf-8"?>
<styleSheet xmlns="http://schemas.openxmlformats.org/spreadsheetml/2006/main">
  <numFmts count="2">
    <numFmt numFmtId="166" formatCode="dd\-mmm\-yyyy"/>
    <numFmt numFmtId="171" formatCode="&quot;$&quot;#,##0.00"/>
  </numFmts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9" fontId="0" fillId="0" borderId="0" xfId="0" applyNumberFormat="1"/>
    <xf numFmtId="0" fontId="1" fillId="0" borderId="2" xfId="0" applyFont="1" applyBorder="1" applyAlignment="1">
      <alignment horizontal="center" vertical="top"/>
    </xf>
    <xf numFmtId="10" fontId="0" fillId="0" borderId="0" xfId="0" applyNumberFormat="1"/>
    <xf numFmtId="2" fontId="0" fillId="0" borderId="0" xfId="0" applyNumberFormat="1"/>
    <xf numFmtId="0" fontId="2" fillId="0" borderId="0" xfId="0" applyFont="1"/>
    <xf numFmtId="10" fontId="2" fillId="0" borderId="0" xfId="0" applyNumberFormat="1" applyFont="1"/>
    <xf numFmtId="171" fontId="2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3" formatCode="0%"/>
    </dxf>
    <dxf>
      <numFmt numFmtId="166" formatCode="dd\-mmm\-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Sales by Category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Analysis!$B$27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Analysis!$A$28:$A$33</c:f>
              <c:strCache>
                <c:ptCount val="6"/>
                <c:pt idx="0">
                  <c:v>Electronics</c:v>
                </c:pt>
                <c:pt idx="1">
                  <c:v>Clothing</c:v>
                </c:pt>
                <c:pt idx="2">
                  <c:v>Home &amp; Kitchen</c:v>
                </c:pt>
                <c:pt idx="3">
                  <c:v>Beauty</c:v>
                </c:pt>
                <c:pt idx="4">
                  <c:v>Grocery</c:v>
                </c:pt>
                <c:pt idx="5">
                  <c:v>Sports &amp; Fitness</c:v>
                </c:pt>
              </c:strCache>
            </c:strRef>
          </c:cat>
          <c:val>
            <c:numRef>
              <c:f>Analysis!$B$28:$B$33</c:f>
              <c:numCache>
                <c:formatCode>General</c:formatCode>
                <c:ptCount val="6"/>
                <c:pt idx="0">
                  <c:v>896964.90000000049</c:v>
                </c:pt>
                <c:pt idx="1">
                  <c:v>825759.00000000047</c:v>
                </c:pt>
                <c:pt idx="2">
                  <c:v>779459.3</c:v>
                </c:pt>
                <c:pt idx="3">
                  <c:v>346986.55</c:v>
                </c:pt>
                <c:pt idx="4">
                  <c:v>194478.35000000009</c:v>
                </c:pt>
                <c:pt idx="5">
                  <c:v>0</c:v>
                </c:pt>
              </c:numCache>
            </c:numRef>
          </c:val>
        </c:ser>
        <c:axId val="21644800"/>
        <c:axId val="21673856"/>
      </c:barChart>
      <c:catAx>
        <c:axId val="21644800"/>
        <c:scaling>
          <c:orientation val="minMax"/>
        </c:scaling>
        <c:axPos val="b"/>
        <c:tickLblPos val="nextTo"/>
        <c:crossAx val="21673856"/>
        <c:crosses val="autoZero"/>
        <c:auto val="1"/>
        <c:lblAlgn val="ctr"/>
        <c:lblOffset val="100"/>
      </c:catAx>
      <c:valAx>
        <c:axId val="21673856"/>
        <c:scaling>
          <c:orientation val="minMax"/>
        </c:scaling>
        <c:axPos val="l"/>
        <c:majorGridlines/>
        <c:numFmt formatCode="General" sourceLinked="1"/>
        <c:tickLblPos val="nextTo"/>
        <c:crossAx val="216448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Products by Sales</a:t>
            </a:r>
          </a:p>
        </c:rich>
      </c:tx>
      <c:layout/>
    </c:title>
    <c:plotArea>
      <c:layout/>
      <c:barChart>
        <c:barDir val="col"/>
        <c:grouping val="clustered"/>
        <c:ser>
          <c:idx val="1"/>
          <c:order val="1"/>
          <c:tx>
            <c:strRef>
              <c:f>Analysis!$C$27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Analysis!$A$28:$A$33</c:f>
              <c:strCache>
                <c:ptCount val="6"/>
                <c:pt idx="0">
                  <c:v>Electronics</c:v>
                </c:pt>
                <c:pt idx="1">
                  <c:v>Clothing</c:v>
                </c:pt>
                <c:pt idx="2">
                  <c:v>Home &amp; Kitchen</c:v>
                </c:pt>
                <c:pt idx="3">
                  <c:v>Beauty</c:v>
                </c:pt>
                <c:pt idx="4">
                  <c:v>Grocery</c:v>
                </c:pt>
                <c:pt idx="5">
                  <c:v>Sports &amp; Fitness</c:v>
                </c:pt>
              </c:strCache>
            </c:strRef>
          </c:cat>
          <c:val>
            <c:numRef>
              <c:f>Analysis!$C$28:$C$33</c:f>
              <c:numCache>
                <c:formatCode>General</c:formatCode>
                <c:ptCount val="6"/>
                <c:pt idx="0">
                  <c:v>271514.89999999985</c:v>
                </c:pt>
                <c:pt idx="1">
                  <c:v>274758.99999999994</c:v>
                </c:pt>
                <c:pt idx="2">
                  <c:v>249159.29999999996</c:v>
                </c:pt>
                <c:pt idx="3">
                  <c:v>134926.55000000005</c:v>
                </c:pt>
                <c:pt idx="4">
                  <c:v>59658.349999999991</c:v>
                </c:pt>
                <c:pt idx="5">
                  <c:v>0</c:v>
                </c:pt>
              </c:numCache>
            </c:numRef>
          </c:val>
        </c:ser>
        <c:ser>
          <c:idx val="0"/>
          <c:order val="0"/>
          <c:tx>
            <c:strRef>
              <c:f>Analysis!$L$12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Analysis!$K$13:$K$22</c:f>
              <c:strCache>
                <c:ptCount val="10"/>
                <c:pt idx="0">
                  <c:v>Mixer Grinder</c:v>
                </c:pt>
                <c:pt idx="1">
                  <c:v>Smart Watch</c:v>
                </c:pt>
                <c:pt idx="2">
                  <c:v>Bluetooth Speaker</c:v>
                </c:pt>
                <c:pt idx="3">
                  <c:v>Running Shoes</c:v>
                </c:pt>
                <c:pt idx="4">
                  <c:v>Denim Jacket</c:v>
                </c:pt>
                <c:pt idx="5">
                  <c:v>Wireless Headphones</c:v>
                </c:pt>
                <c:pt idx="6">
                  <c:v>Dinner Set</c:v>
                </c:pt>
                <c:pt idx="7">
                  <c:v>Hoodie</c:v>
                </c:pt>
                <c:pt idx="8">
                  <c:v>Cricket Bat</c:v>
                </c:pt>
                <c:pt idx="9">
                  <c:v>Electric Kettle</c:v>
                </c:pt>
              </c:strCache>
            </c:strRef>
          </c:cat>
          <c:val>
            <c:numRef>
              <c:f>Analysis!$L$13:$L$22</c:f>
              <c:numCache>
                <c:formatCode>General</c:formatCode>
                <c:ptCount val="10"/>
                <c:pt idx="0">
                  <c:v>339752.89999999997</c:v>
                </c:pt>
                <c:pt idx="1">
                  <c:v>263012.3</c:v>
                </c:pt>
                <c:pt idx="2">
                  <c:v>224410.19999999998</c:v>
                </c:pt>
                <c:pt idx="3">
                  <c:v>218627.10000000003</c:v>
                </c:pt>
                <c:pt idx="4">
                  <c:v>202793.85</c:v>
                </c:pt>
                <c:pt idx="5">
                  <c:v>182708.59999999998</c:v>
                </c:pt>
                <c:pt idx="6">
                  <c:v>181409.25000000003</c:v>
                </c:pt>
                <c:pt idx="7">
                  <c:v>173731.35</c:v>
                </c:pt>
                <c:pt idx="8">
                  <c:v>171431.4</c:v>
                </c:pt>
                <c:pt idx="9">
                  <c:v>166838.69999999995</c:v>
                </c:pt>
              </c:numCache>
            </c:numRef>
          </c:val>
        </c:ser>
        <c:axId val="199866624"/>
        <c:axId val="200223360"/>
      </c:barChart>
      <c:catAx>
        <c:axId val="199866624"/>
        <c:scaling>
          <c:orientation val="minMax"/>
        </c:scaling>
        <c:axPos val="b"/>
        <c:tickLblPos val="nextTo"/>
        <c:crossAx val="200223360"/>
        <c:crosses val="autoZero"/>
        <c:auto val="1"/>
        <c:lblAlgn val="ctr"/>
        <c:lblOffset val="100"/>
      </c:catAx>
      <c:valAx>
        <c:axId val="200223360"/>
        <c:scaling>
          <c:orientation val="minMax"/>
        </c:scaling>
        <c:axPos val="l"/>
        <c:majorGridlines/>
        <c:numFmt formatCode="General" sourceLinked="1"/>
        <c:tickLblPos val="nextTo"/>
        <c:crossAx val="1998666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by State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Analysis!$G$12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Analysis!$F$13:$F$27</c:f>
              <c:strCache>
                <c:ptCount val="15"/>
                <c:pt idx="0">
                  <c:v>Madhya Pradesh</c:v>
                </c:pt>
                <c:pt idx="1">
                  <c:v>Delhi</c:v>
                </c:pt>
                <c:pt idx="2">
                  <c:v>Uttar Pradesh</c:v>
                </c:pt>
                <c:pt idx="3">
                  <c:v>Maharashtra</c:v>
                </c:pt>
                <c:pt idx="4">
                  <c:v>Rajasthan</c:v>
                </c:pt>
                <c:pt idx="5">
                  <c:v>Gujarat</c:v>
                </c:pt>
                <c:pt idx="6">
                  <c:v>West Bengal</c:v>
                </c:pt>
                <c:pt idx="7">
                  <c:v>Karnataka</c:v>
                </c:pt>
                <c:pt idx="8">
                  <c:v>Tamil Nadu</c:v>
                </c:pt>
                <c:pt idx="9">
                  <c:v>Telangana</c:v>
                </c:pt>
                <c:pt idx="10">
                  <c:v>Bihar</c:v>
                </c:pt>
                <c:pt idx="11">
                  <c:v>Haryana</c:v>
                </c:pt>
                <c:pt idx="12">
                  <c:v>Punjab</c:v>
                </c:pt>
                <c:pt idx="13">
                  <c:v>Odisha</c:v>
                </c:pt>
                <c:pt idx="14">
                  <c:v>Kerala</c:v>
                </c:pt>
              </c:strCache>
            </c:strRef>
          </c:cat>
          <c:val>
            <c:numRef>
              <c:f>Analysis!$G$13:$G$27</c:f>
              <c:numCache>
                <c:formatCode>General</c:formatCode>
                <c:ptCount val="15"/>
                <c:pt idx="0">
                  <c:v>428299.99999999994</c:v>
                </c:pt>
                <c:pt idx="1">
                  <c:v>45191.9</c:v>
                </c:pt>
                <c:pt idx="2">
                  <c:v>758386.49999999965</c:v>
                </c:pt>
                <c:pt idx="3">
                  <c:v>379622.59999999992</c:v>
                </c:pt>
                <c:pt idx="4">
                  <c:v>186677.2</c:v>
                </c:pt>
                <c:pt idx="5">
                  <c:v>281047.09999999986</c:v>
                </c:pt>
                <c:pt idx="6">
                  <c:v>285311.19999999995</c:v>
                </c:pt>
                <c:pt idx="7">
                  <c:v>176941.65000000002</c:v>
                </c:pt>
                <c:pt idx="8">
                  <c:v>169512.25000000006</c:v>
                </c:pt>
                <c:pt idx="9">
                  <c:v>345346.89999999991</c:v>
                </c:pt>
                <c:pt idx="10">
                  <c:v>263031.90000000002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axId val="202802304"/>
        <c:axId val="202803840"/>
      </c:barChart>
      <c:catAx>
        <c:axId val="202802304"/>
        <c:scaling>
          <c:orientation val="minMax"/>
        </c:scaling>
        <c:axPos val="b"/>
        <c:tickLblPos val="nextTo"/>
        <c:crossAx val="202803840"/>
        <c:crosses val="autoZero"/>
        <c:auto val="1"/>
        <c:lblAlgn val="ctr"/>
        <c:lblOffset val="100"/>
      </c:catAx>
      <c:valAx>
        <c:axId val="202803840"/>
        <c:scaling>
          <c:orientation val="minMax"/>
        </c:scaling>
        <c:axPos val="l"/>
        <c:majorGridlines/>
        <c:numFmt formatCode="General" sourceLinked="1"/>
        <c:tickLblPos val="nextTo"/>
        <c:crossAx val="2028023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Sales Trend</a:t>
            </a:r>
            <a:endParaRPr lang="en-US"/>
          </a:p>
        </c:rich>
      </c:tx>
      <c:layout/>
    </c:title>
    <c:plotArea>
      <c:layout>
        <c:manualLayout>
          <c:layoutTarget val="inner"/>
          <c:xMode val="edge"/>
          <c:yMode val="edge"/>
          <c:x val="0.12656167979002625"/>
          <c:y val="0.32806661362451645"/>
          <c:w val="0.5405520277707222"/>
          <c:h val="0.49275810035940631"/>
        </c:manualLayout>
      </c:layout>
      <c:barChart>
        <c:barDir val="col"/>
        <c:grouping val="clustered"/>
        <c:ser>
          <c:idx val="0"/>
          <c:order val="0"/>
          <c:tx>
            <c:v>Sales</c:v>
          </c:tx>
          <c:cat>
            <c:strRef>
              <c:f>Analysis!$A$13:$A$24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Analysis!$B$13:$B$24</c:f>
              <c:numCache>
                <c:formatCode>General</c:formatCode>
                <c:ptCount val="12"/>
                <c:pt idx="0">
                  <c:v>331524.34999999998</c:v>
                </c:pt>
                <c:pt idx="1">
                  <c:v>323925.9499999999</c:v>
                </c:pt>
                <c:pt idx="2">
                  <c:v>343384.05</c:v>
                </c:pt>
                <c:pt idx="3">
                  <c:v>394023.15000000008</c:v>
                </c:pt>
                <c:pt idx="4">
                  <c:v>366339.05</c:v>
                </c:pt>
                <c:pt idx="5">
                  <c:v>285226.59999999992</c:v>
                </c:pt>
                <c:pt idx="6">
                  <c:v>343299.64999999985</c:v>
                </c:pt>
                <c:pt idx="7">
                  <c:v>345958.55</c:v>
                </c:pt>
                <c:pt idx="8">
                  <c:v>141223.90000000002</c:v>
                </c:pt>
                <c:pt idx="9">
                  <c:v>159541.79999999993</c:v>
                </c:pt>
                <c:pt idx="10">
                  <c:v>225986.90000000005</c:v>
                </c:pt>
                <c:pt idx="11">
                  <c:v>133371</c:v>
                </c:pt>
              </c:numCache>
            </c:numRef>
          </c:val>
        </c:ser>
        <c:axId val="206350976"/>
        <c:axId val="206966144"/>
      </c:barChart>
      <c:catAx>
        <c:axId val="206350976"/>
        <c:scaling>
          <c:orientation val="minMax"/>
        </c:scaling>
        <c:axPos val="b"/>
        <c:tickLblPos val="nextTo"/>
        <c:crossAx val="206966144"/>
        <c:crosses val="autoZero"/>
        <c:auto val="1"/>
        <c:lblAlgn val="ctr"/>
        <c:lblOffset val="100"/>
      </c:catAx>
      <c:valAx>
        <c:axId val="206966144"/>
        <c:scaling>
          <c:orientation val="minMax"/>
        </c:scaling>
        <c:axPos val="l"/>
        <c:majorGridlines/>
        <c:numFmt formatCode="General" sourceLinked="1"/>
        <c:tickLblPos val="nextTo"/>
        <c:crossAx val="2063509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374650</xdr:colOff>
      <xdr:row>12</xdr:row>
      <xdr:rowOff>0</xdr:rowOff>
    </xdr:from>
    <xdr:to>
      <xdr:col>6</xdr:col>
      <xdr:colOff>1066800</xdr:colOff>
      <xdr:row>22</xdr:row>
      <xdr:rowOff>158750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679450</xdr:colOff>
      <xdr:row>25</xdr:row>
      <xdr:rowOff>171450</xdr:rowOff>
    </xdr:from>
    <xdr:to>
      <xdr:col>0</xdr:col>
      <xdr:colOff>4654550</xdr:colOff>
      <xdr:row>38</xdr:row>
      <xdr:rowOff>120650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431800</xdr:colOff>
      <xdr:row>25</xdr:row>
      <xdr:rowOff>76200</xdr:rowOff>
    </xdr:from>
    <xdr:to>
      <xdr:col>6</xdr:col>
      <xdr:colOff>1035050</xdr:colOff>
      <xdr:row>37</xdr:row>
      <xdr:rowOff>50800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622300</xdr:colOff>
      <xdr:row>12</xdr:row>
      <xdr:rowOff>101600</xdr:rowOff>
    </xdr:from>
    <xdr:to>
      <xdr:col>0</xdr:col>
      <xdr:colOff>4756150</xdr:colOff>
      <xdr:row>22</xdr:row>
      <xdr:rowOff>82550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S1001" totalsRowShown="0" headerRowDxfId="0" headerRowBorderDxfId="3" tableBorderDxfId="4">
  <autoFilter ref="A1:S1001"/>
  <tableColumns count="19">
    <tableColumn id="1" name="Order_ID"/>
    <tableColumn id="2" name="Order_Date" dataDxfId="2"/>
    <tableColumn id="3" name="Customer_ID"/>
    <tableColumn id="4" name="Customer_Name"/>
    <tableColumn id="5" name="Gender"/>
    <tableColumn id="6" name="Age"/>
    <tableColumn id="7" name="City"/>
    <tableColumn id="8" name="State"/>
    <tableColumn id="9" name="Category"/>
    <tableColumn id="10" name="Product"/>
    <tableColumn id="11" name="Quantity"/>
    <tableColumn id="12" name="Unit_Price"/>
    <tableColumn id="13" name="Discount" dataDxfId="1"/>
    <tableColumn id="14" name="Sales"/>
    <tableColumn id="15" name="Cost"/>
    <tableColumn id="16" name="Profit"/>
    <tableColumn id="17" name="Payment_Mode"/>
    <tableColumn id="18" name="Order_Status"/>
    <tableColumn id="19" name="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3" sqref="A3"/>
    </sheetView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01"/>
  <sheetViews>
    <sheetView workbookViewId="0">
      <pane ySplit="1" topLeftCell="A2" activePane="bottomLeft" state="frozen"/>
      <selection pane="bottomLeft" activeCell="I9" sqref="I9"/>
    </sheetView>
  </sheetViews>
  <sheetFormatPr defaultRowHeight="14.5"/>
  <cols>
    <col min="1" max="1" width="12" customWidth="1"/>
    <col min="2" max="2" width="14" customWidth="1"/>
    <col min="3" max="3" width="13.81640625" customWidth="1"/>
    <col min="4" max="4" width="20" customWidth="1"/>
    <col min="5" max="5" width="10" customWidth="1"/>
    <col min="6" max="6" width="8" customWidth="1"/>
    <col min="7" max="7" width="15" customWidth="1"/>
    <col min="8" max="9" width="20" customWidth="1"/>
    <col min="10" max="10" width="24" customWidth="1"/>
    <col min="11" max="11" width="10.1796875" customWidth="1"/>
    <col min="12" max="12" width="12" customWidth="1"/>
    <col min="13" max="13" width="10.1796875" customWidth="1"/>
    <col min="14" max="16" width="12" customWidth="1"/>
    <col min="17" max="17" width="18" customWidth="1"/>
    <col min="18" max="18" width="15" customWidth="1"/>
    <col min="19" max="19" width="8.08984375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t="s">
        <v>19</v>
      </c>
      <c r="B2" s="2">
        <v>46072</v>
      </c>
      <c r="C2" t="s">
        <v>20</v>
      </c>
      <c r="D2" t="s">
        <v>21</v>
      </c>
      <c r="E2" t="s">
        <v>22</v>
      </c>
      <c r="F2">
        <v>52</v>
      </c>
      <c r="G2" t="s">
        <v>23</v>
      </c>
      <c r="H2" t="s">
        <v>24</v>
      </c>
      <c r="I2" t="s">
        <v>25</v>
      </c>
      <c r="J2" t="s">
        <v>26</v>
      </c>
      <c r="K2">
        <v>3</v>
      </c>
      <c r="L2">
        <v>2499</v>
      </c>
      <c r="M2" s="3">
        <v>0.05</v>
      </c>
      <c r="N2">
        <v>7122.15</v>
      </c>
      <c r="O2">
        <v>4800</v>
      </c>
      <c r="P2">
        <v>2322.15</v>
      </c>
      <c r="Q2" t="s">
        <v>27</v>
      </c>
      <c r="R2" t="s">
        <v>28</v>
      </c>
      <c r="S2">
        <v>5</v>
      </c>
    </row>
    <row r="3" spans="1:19">
      <c r="A3" t="s">
        <v>29</v>
      </c>
      <c r="B3" s="2">
        <v>46221</v>
      </c>
      <c r="C3" t="s">
        <v>30</v>
      </c>
      <c r="D3" t="s">
        <v>31</v>
      </c>
      <c r="E3" t="s">
        <v>32</v>
      </c>
      <c r="F3">
        <v>29</v>
      </c>
      <c r="G3" t="s">
        <v>33</v>
      </c>
      <c r="H3" t="s">
        <v>34</v>
      </c>
      <c r="I3" t="s">
        <v>35</v>
      </c>
      <c r="J3" t="s">
        <v>36</v>
      </c>
      <c r="K3">
        <v>3</v>
      </c>
      <c r="L3">
        <v>599</v>
      </c>
      <c r="M3" s="3">
        <v>0.15</v>
      </c>
      <c r="N3">
        <v>1527.45</v>
      </c>
      <c r="O3">
        <v>960</v>
      </c>
      <c r="P3">
        <v>567.45000000000005</v>
      </c>
      <c r="Q3" t="s">
        <v>37</v>
      </c>
      <c r="R3" t="s">
        <v>28</v>
      </c>
      <c r="S3">
        <v>4</v>
      </c>
    </row>
    <row r="4" spans="1:19">
      <c r="A4" t="s">
        <v>38</v>
      </c>
      <c r="B4" s="2">
        <v>45781</v>
      </c>
      <c r="C4" t="s">
        <v>39</v>
      </c>
      <c r="D4" t="s">
        <v>40</v>
      </c>
      <c r="E4" t="s">
        <v>22</v>
      </c>
      <c r="F4">
        <v>39</v>
      </c>
      <c r="G4" t="s">
        <v>41</v>
      </c>
      <c r="H4" t="s">
        <v>42</v>
      </c>
      <c r="I4" t="s">
        <v>43</v>
      </c>
      <c r="J4" t="s">
        <v>44</v>
      </c>
      <c r="K4">
        <v>3</v>
      </c>
      <c r="L4">
        <v>1599</v>
      </c>
      <c r="M4" s="3">
        <v>0.05</v>
      </c>
      <c r="N4">
        <v>4557.1499999999996</v>
      </c>
      <c r="O4">
        <v>2850</v>
      </c>
      <c r="P4">
        <v>1707.15</v>
      </c>
      <c r="Q4" t="s">
        <v>27</v>
      </c>
      <c r="R4" t="s">
        <v>28</v>
      </c>
      <c r="S4">
        <v>5</v>
      </c>
    </row>
    <row r="5" spans="1:19">
      <c r="A5" t="s">
        <v>45</v>
      </c>
      <c r="B5" s="2">
        <v>45941</v>
      </c>
      <c r="C5" t="s">
        <v>46</v>
      </c>
      <c r="D5" t="s">
        <v>47</v>
      </c>
      <c r="E5" t="s">
        <v>32</v>
      </c>
      <c r="F5">
        <v>26</v>
      </c>
      <c r="G5" t="s">
        <v>48</v>
      </c>
      <c r="H5" t="s">
        <v>42</v>
      </c>
      <c r="I5" t="s">
        <v>43</v>
      </c>
      <c r="J5" t="s">
        <v>49</v>
      </c>
      <c r="K5">
        <v>2</v>
      </c>
      <c r="L5">
        <v>799</v>
      </c>
      <c r="M5" s="3">
        <v>0.15</v>
      </c>
      <c r="N5">
        <v>1358.3</v>
      </c>
      <c r="O5">
        <v>900</v>
      </c>
      <c r="P5">
        <v>458.3</v>
      </c>
      <c r="Q5" t="s">
        <v>50</v>
      </c>
      <c r="R5" t="s">
        <v>51</v>
      </c>
      <c r="S5">
        <v>5</v>
      </c>
    </row>
    <row r="6" spans="1:19">
      <c r="A6" t="s">
        <v>52</v>
      </c>
      <c r="B6" s="2">
        <v>45890</v>
      </c>
      <c r="C6" t="s">
        <v>53</v>
      </c>
      <c r="D6" t="s">
        <v>54</v>
      </c>
      <c r="E6" t="s">
        <v>22</v>
      </c>
      <c r="F6">
        <v>34</v>
      </c>
      <c r="G6" t="s">
        <v>55</v>
      </c>
      <c r="H6" t="s">
        <v>34</v>
      </c>
      <c r="I6" t="s">
        <v>25</v>
      </c>
      <c r="J6" t="s">
        <v>56</v>
      </c>
      <c r="K6">
        <v>2</v>
      </c>
      <c r="L6">
        <v>899</v>
      </c>
      <c r="M6" s="3">
        <v>0.1</v>
      </c>
      <c r="N6">
        <v>1618.2</v>
      </c>
      <c r="O6">
        <v>1100</v>
      </c>
      <c r="P6">
        <v>518.20000000000005</v>
      </c>
      <c r="Q6" t="s">
        <v>37</v>
      </c>
      <c r="R6" t="s">
        <v>28</v>
      </c>
      <c r="S6">
        <v>1</v>
      </c>
    </row>
    <row r="7" spans="1:19">
      <c r="A7" t="s">
        <v>57</v>
      </c>
      <c r="B7" s="2">
        <v>45713</v>
      </c>
      <c r="C7" t="s">
        <v>58</v>
      </c>
      <c r="D7" t="s">
        <v>59</v>
      </c>
      <c r="E7" t="s">
        <v>32</v>
      </c>
      <c r="F7">
        <v>25</v>
      </c>
      <c r="G7" t="s">
        <v>60</v>
      </c>
      <c r="H7" t="s">
        <v>61</v>
      </c>
      <c r="I7" t="s">
        <v>25</v>
      </c>
      <c r="J7" t="s">
        <v>62</v>
      </c>
      <c r="K7">
        <v>3</v>
      </c>
      <c r="L7">
        <v>1299</v>
      </c>
      <c r="M7" s="3">
        <v>0</v>
      </c>
      <c r="N7">
        <v>3897</v>
      </c>
      <c r="O7">
        <v>2400</v>
      </c>
      <c r="P7">
        <v>1497</v>
      </c>
      <c r="Q7" t="s">
        <v>50</v>
      </c>
      <c r="R7" t="s">
        <v>28</v>
      </c>
      <c r="S7">
        <v>2</v>
      </c>
    </row>
    <row r="8" spans="1:19">
      <c r="A8" t="s">
        <v>63</v>
      </c>
      <c r="B8" s="2">
        <v>45949</v>
      </c>
      <c r="C8" t="s">
        <v>64</v>
      </c>
      <c r="D8" t="s">
        <v>65</v>
      </c>
      <c r="E8" t="s">
        <v>32</v>
      </c>
      <c r="F8">
        <v>31</v>
      </c>
      <c r="G8" t="s">
        <v>33</v>
      </c>
      <c r="H8" t="s">
        <v>34</v>
      </c>
      <c r="I8" t="s">
        <v>25</v>
      </c>
      <c r="J8" t="s">
        <v>56</v>
      </c>
      <c r="K8">
        <v>1</v>
      </c>
      <c r="L8">
        <v>899</v>
      </c>
      <c r="M8" s="3">
        <v>0.2</v>
      </c>
      <c r="N8">
        <v>719.2</v>
      </c>
      <c r="O8">
        <v>550</v>
      </c>
      <c r="P8">
        <v>169.2</v>
      </c>
      <c r="Q8" t="s">
        <v>66</v>
      </c>
      <c r="R8" t="s">
        <v>28</v>
      </c>
      <c r="S8">
        <v>3</v>
      </c>
    </row>
    <row r="9" spans="1:19">
      <c r="A9" t="s">
        <v>67</v>
      </c>
      <c r="B9" s="2">
        <v>45774</v>
      </c>
      <c r="C9" t="s">
        <v>46</v>
      </c>
      <c r="D9" t="s">
        <v>47</v>
      </c>
      <c r="E9" t="s">
        <v>32</v>
      </c>
      <c r="F9">
        <v>26</v>
      </c>
      <c r="G9" t="s">
        <v>48</v>
      </c>
      <c r="H9" t="s">
        <v>42</v>
      </c>
      <c r="I9" t="s">
        <v>25</v>
      </c>
      <c r="J9" t="s">
        <v>68</v>
      </c>
      <c r="K9">
        <v>3</v>
      </c>
      <c r="L9">
        <v>2999</v>
      </c>
      <c r="M9" s="3">
        <v>0.15</v>
      </c>
      <c r="N9">
        <v>7647.45</v>
      </c>
      <c r="O9">
        <v>5700</v>
      </c>
      <c r="P9">
        <v>1947.45</v>
      </c>
      <c r="Q9" t="s">
        <v>69</v>
      </c>
      <c r="R9" t="s">
        <v>28</v>
      </c>
      <c r="S9">
        <v>1</v>
      </c>
    </row>
    <row r="10" spans="1:19">
      <c r="A10" t="s">
        <v>70</v>
      </c>
      <c r="B10" s="2">
        <v>45810</v>
      </c>
      <c r="C10" t="s">
        <v>71</v>
      </c>
      <c r="D10" t="s">
        <v>72</v>
      </c>
      <c r="E10" t="s">
        <v>32</v>
      </c>
      <c r="F10">
        <v>53</v>
      </c>
      <c r="G10" t="s">
        <v>73</v>
      </c>
      <c r="H10" t="s">
        <v>74</v>
      </c>
      <c r="I10" t="s">
        <v>75</v>
      </c>
      <c r="J10" t="s">
        <v>76</v>
      </c>
      <c r="K10">
        <v>1</v>
      </c>
      <c r="L10">
        <v>399</v>
      </c>
      <c r="M10" s="3">
        <v>0.05</v>
      </c>
      <c r="N10">
        <v>379.05</v>
      </c>
      <c r="O10">
        <v>220</v>
      </c>
      <c r="P10">
        <v>159.05000000000001</v>
      </c>
      <c r="Q10" t="s">
        <v>50</v>
      </c>
      <c r="R10" t="s">
        <v>77</v>
      </c>
      <c r="S10">
        <v>1</v>
      </c>
    </row>
    <row r="11" spans="1:19">
      <c r="A11" t="s">
        <v>78</v>
      </c>
      <c r="B11" s="2">
        <v>45889</v>
      </c>
      <c r="C11" t="s">
        <v>79</v>
      </c>
      <c r="D11" t="s">
        <v>80</v>
      </c>
      <c r="E11" t="s">
        <v>22</v>
      </c>
      <c r="F11">
        <v>22</v>
      </c>
      <c r="G11" t="s">
        <v>81</v>
      </c>
      <c r="H11" t="s">
        <v>82</v>
      </c>
      <c r="I11" t="s">
        <v>25</v>
      </c>
      <c r="J11" t="s">
        <v>56</v>
      </c>
      <c r="K11">
        <v>4</v>
      </c>
      <c r="L11">
        <v>899</v>
      </c>
      <c r="M11" s="3">
        <v>0.2</v>
      </c>
      <c r="N11">
        <v>2876.8</v>
      </c>
      <c r="O11">
        <v>2200</v>
      </c>
      <c r="P11">
        <v>676.8</v>
      </c>
      <c r="Q11" t="s">
        <v>50</v>
      </c>
      <c r="R11" t="s">
        <v>28</v>
      </c>
      <c r="S11">
        <v>4</v>
      </c>
    </row>
    <row r="12" spans="1:19">
      <c r="A12" t="s">
        <v>83</v>
      </c>
      <c r="B12" s="2">
        <v>46240</v>
      </c>
      <c r="C12" t="s">
        <v>84</v>
      </c>
      <c r="D12" t="s">
        <v>85</v>
      </c>
      <c r="E12" t="s">
        <v>32</v>
      </c>
      <c r="F12">
        <v>20</v>
      </c>
      <c r="G12" t="s">
        <v>41</v>
      </c>
      <c r="H12" t="s">
        <v>42</v>
      </c>
      <c r="I12" t="s">
        <v>75</v>
      </c>
      <c r="J12" t="s">
        <v>86</v>
      </c>
      <c r="K12">
        <v>4</v>
      </c>
      <c r="L12">
        <v>499</v>
      </c>
      <c r="M12" s="3">
        <v>0.1</v>
      </c>
      <c r="N12">
        <v>1796.4</v>
      </c>
      <c r="O12">
        <v>1200</v>
      </c>
      <c r="P12">
        <v>596.4</v>
      </c>
      <c r="Q12" t="s">
        <v>50</v>
      </c>
      <c r="R12" t="s">
        <v>28</v>
      </c>
      <c r="S12">
        <v>1</v>
      </c>
    </row>
    <row r="13" spans="1:19">
      <c r="A13" t="s">
        <v>87</v>
      </c>
      <c r="B13" s="2">
        <v>45741</v>
      </c>
      <c r="C13" t="s">
        <v>88</v>
      </c>
      <c r="D13" t="s">
        <v>89</v>
      </c>
      <c r="E13" t="s">
        <v>32</v>
      </c>
      <c r="F13">
        <v>53</v>
      </c>
      <c r="G13" t="s">
        <v>41</v>
      </c>
      <c r="H13" t="s">
        <v>42</v>
      </c>
      <c r="I13" t="s">
        <v>75</v>
      </c>
      <c r="J13" t="s">
        <v>76</v>
      </c>
      <c r="K13">
        <v>2</v>
      </c>
      <c r="L13">
        <v>399</v>
      </c>
      <c r="M13" s="3">
        <v>0.1</v>
      </c>
      <c r="N13">
        <v>718.2</v>
      </c>
      <c r="O13">
        <v>440</v>
      </c>
      <c r="P13">
        <v>278.2</v>
      </c>
      <c r="Q13" t="s">
        <v>27</v>
      </c>
      <c r="R13" t="s">
        <v>28</v>
      </c>
      <c r="S13">
        <v>5</v>
      </c>
    </row>
    <row r="14" spans="1:19">
      <c r="A14" t="s">
        <v>90</v>
      </c>
      <c r="B14" s="2">
        <v>46119</v>
      </c>
      <c r="C14" t="s">
        <v>91</v>
      </c>
      <c r="D14" t="s">
        <v>92</v>
      </c>
      <c r="E14" t="s">
        <v>32</v>
      </c>
      <c r="F14">
        <v>43</v>
      </c>
      <c r="G14" t="s">
        <v>93</v>
      </c>
      <c r="H14" t="s">
        <v>94</v>
      </c>
      <c r="I14" t="s">
        <v>43</v>
      </c>
      <c r="J14" t="s">
        <v>95</v>
      </c>
      <c r="K14">
        <v>1</v>
      </c>
      <c r="L14">
        <v>2499</v>
      </c>
      <c r="M14" s="3">
        <v>0.15</v>
      </c>
      <c r="N14">
        <v>2124.15</v>
      </c>
      <c r="O14">
        <v>1500</v>
      </c>
      <c r="P14">
        <v>624.15</v>
      </c>
      <c r="Q14" t="s">
        <v>50</v>
      </c>
      <c r="R14" t="s">
        <v>28</v>
      </c>
      <c r="S14">
        <v>1</v>
      </c>
    </row>
    <row r="15" spans="1:19">
      <c r="A15" t="s">
        <v>96</v>
      </c>
      <c r="B15" s="2">
        <v>45730</v>
      </c>
      <c r="C15" t="s">
        <v>97</v>
      </c>
      <c r="D15" t="s">
        <v>98</v>
      </c>
      <c r="E15" t="s">
        <v>22</v>
      </c>
      <c r="F15">
        <v>23</v>
      </c>
      <c r="G15" t="s">
        <v>48</v>
      </c>
      <c r="H15" t="s">
        <v>42</v>
      </c>
      <c r="I15" t="s">
        <v>43</v>
      </c>
      <c r="J15" t="s">
        <v>44</v>
      </c>
      <c r="K15">
        <v>3</v>
      </c>
      <c r="L15">
        <v>1599</v>
      </c>
      <c r="M15" s="3">
        <v>0.15</v>
      </c>
      <c r="N15">
        <v>4077.45</v>
      </c>
      <c r="O15">
        <v>2850</v>
      </c>
      <c r="P15">
        <v>1227.45</v>
      </c>
      <c r="Q15" t="s">
        <v>27</v>
      </c>
      <c r="R15" t="s">
        <v>77</v>
      </c>
      <c r="S15">
        <v>2</v>
      </c>
    </row>
    <row r="16" spans="1:19">
      <c r="A16" t="s">
        <v>99</v>
      </c>
      <c r="B16" s="2">
        <v>45930</v>
      </c>
      <c r="C16" t="s">
        <v>100</v>
      </c>
      <c r="D16" t="s">
        <v>101</v>
      </c>
      <c r="E16" t="s">
        <v>32</v>
      </c>
      <c r="F16">
        <v>50</v>
      </c>
      <c r="G16" t="s">
        <v>55</v>
      </c>
      <c r="H16" t="s">
        <v>34</v>
      </c>
      <c r="I16" t="s">
        <v>25</v>
      </c>
      <c r="J16" t="s">
        <v>56</v>
      </c>
      <c r="K16">
        <v>2</v>
      </c>
      <c r="L16">
        <v>899</v>
      </c>
      <c r="M16" s="3">
        <v>0.05</v>
      </c>
      <c r="N16">
        <v>1708.1</v>
      </c>
      <c r="O16">
        <v>1100</v>
      </c>
      <c r="P16">
        <v>608.1</v>
      </c>
      <c r="Q16" t="s">
        <v>27</v>
      </c>
      <c r="R16" t="s">
        <v>28</v>
      </c>
      <c r="S16">
        <v>2</v>
      </c>
    </row>
    <row r="17" spans="1:19">
      <c r="A17" t="s">
        <v>102</v>
      </c>
      <c r="B17" s="2">
        <v>45785</v>
      </c>
      <c r="C17" t="s">
        <v>103</v>
      </c>
      <c r="D17" t="s">
        <v>104</v>
      </c>
      <c r="E17" t="s">
        <v>32</v>
      </c>
      <c r="F17">
        <v>27</v>
      </c>
      <c r="G17" t="s">
        <v>105</v>
      </c>
      <c r="H17" t="s">
        <v>105</v>
      </c>
      <c r="I17" t="s">
        <v>75</v>
      </c>
      <c r="J17" t="s">
        <v>106</v>
      </c>
      <c r="K17">
        <v>3</v>
      </c>
      <c r="L17">
        <v>899</v>
      </c>
      <c r="M17" s="3">
        <v>0.15</v>
      </c>
      <c r="N17">
        <v>2292.4499999999998</v>
      </c>
      <c r="O17">
        <v>1800</v>
      </c>
      <c r="P17">
        <v>492.45</v>
      </c>
      <c r="Q17" t="s">
        <v>66</v>
      </c>
      <c r="R17" t="s">
        <v>28</v>
      </c>
      <c r="S17">
        <v>4</v>
      </c>
    </row>
    <row r="18" spans="1:19">
      <c r="A18" t="s">
        <v>107</v>
      </c>
      <c r="B18" s="2">
        <v>45740</v>
      </c>
      <c r="C18" t="s">
        <v>39</v>
      </c>
      <c r="D18" t="s">
        <v>40</v>
      </c>
      <c r="E18" t="s">
        <v>22</v>
      </c>
      <c r="F18">
        <v>39</v>
      </c>
      <c r="G18" t="s">
        <v>41</v>
      </c>
      <c r="H18" t="s">
        <v>42</v>
      </c>
      <c r="I18" t="s">
        <v>35</v>
      </c>
      <c r="J18" t="s">
        <v>108</v>
      </c>
      <c r="K18">
        <v>4</v>
      </c>
      <c r="L18">
        <v>699</v>
      </c>
      <c r="M18" s="3">
        <v>0.15</v>
      </c>
      <c r="N18">
        <v>2376.6</v>
      </c>
      <c r="O18">
        <v>1520</v>
      </c>
      <c r="P18">
        <v>856.6</v>
      </c>
      <c r="Q18" t="s">
        <v>50</v>
      </c>
      <c r="R18" t="s">
        <v>28</v>
      </c>
      <c r="S18">
        <v>4</v>
      </c>
    </row>
    <row r="19" spans="1:19">
      <c r="A19" t="s">
        <v>109</v>
      </c>
      <c r="B19" s="2">
        <v>45751</v>
      </c>
      <c r="C19" t="s">
        <v>110</v>
      </c>
      <c r="D19" t="s">
        <v>111</v>
      </c>
      <c r="E19" t="s">
        <v>22</v>
      </c>
      <c r="F19">
        <v>47</v>
      </c>
      <c r="G19" t="s">
        <v>48</v>
      </c>
      <c r="H19" t="s">
        <v>42</v>
      </c>
      <c r="I19" t="s">
        <v>75</v>
      </c>
      <c r="J19" t="s">
        <v>106</v>
      </c>
      <c r="K19">
        <v>3</v>
      </c>
      <c r="L19">
        <v>899</v>
      </c>
      <c r="M19" s="3">
        <v>0</v>
      </c>
      <c r="N19">
        <v>2697</v>
      </c>
      <c r="O19">
        <v>1800</v>
      </c>
      <c r="P19">
        <v>897</v>
      </c>
      <c r="Q19" t="s">
        <v>27</v>
      </c>
      <c r="R19" t="s">
        <v>51</v>
      </c>
      <c r="S19">
        <v>5</v>
      </c>
    </row>
    <row r="20" spans="1:19">
      <c r="A20" t="s">
        <v>112</v>
      </c>
      <c r="B20" s="2">
        <v>45699</v>
      </c>
      <c r="C20" t="s">
        <v>113</v>
      </c>
      <c r="D20" t="s">
        <v>114</v>
      </c>
      <c r="E20" t="s">
        <v>32</v>
      </c>
      <c r="F20">
        <v>18</v>
      </c>
      <c r="G20" t="s">
        <v>115</v>
      </c>
      <c r="H20" t="s">
        <v>116</v>
      </c>
      <c r="I20" t="s">
        <v>117</v>
      </c>
      <c r="J20" t="s">
        <v>118</v>
      </c>
      <c r="K20">
        <v>3</v>
      </c>
      <c r="L20">
        <v>999</v>
      </c>
      <c r="M20" s="3">
        <v>0.2</v>
      </c>
      <c r="N20">
        <v>2397.6</v>
      </c>
      <c r="O20">
        <v>1650</v>
      </c>
      <c r="P20">
        <v>747.6</v>
      </c>
      <c r="Q20" t="s">
        <v>27</v>
      </c>
      <c r="R20" t="s">
        <v>28</v>
      </c>
      <c r="S20">
        <v>4</v>
      </c>
    </row>
    <row r="21" spans="1:19">
      <c r="A21" t="s">
        <v>119</v>
      </c>
      <c r="B21" s="2">
        <v>45751</v>
      </c>
      <c r="C21" t="s">
        <v>120</v>
      </c>
      <c r="D21" t="s">
        <v>121</v>
      </c>
      <c r="E21" t="s">
        <v>32</v>
      </c>
      <c r="F21">
        <v>35</v>
      </c>
      <c r="G21" t="s">
        <v>93</v>
      </c>
      <c r="H21" t="s">
        <v>94</v>
      </c>
      <c r="I21" t="s">
        <v>43</v>
      </c>
      <c r="J21" t="s">
        <v>95</v>
      </c>
      <c r="K21">
        <v>4</v>
      </c>
      <c r="L21">
        <v>2499</v>
      </c>
      <c r="M21" s="3">
        <v>0.15</v>
      </c>
      <c r="N21">
        <v>8496.6</v>
      </c>
      <c r="O21">
        <v>6000</v>
      </c>
      <c r="P21">
        <v>2496.6</v>
      </c>
      <c r="Q21" t="s">
        <v>66</v>
      </c>
      <c r="R21" t="s">
        <v>28</v>
      </c>
      <c r="S21">
        <v>3</v>
      </c>
    </row>
    <row r="22" spans="1:19">
      <c r="A22" t="s">
        <v>122</v>
      </c>
      <c r="B22" s="2">
        <v>45995</v>
      </c>
      <c r="C22" t="s">
        <v>110</v>
      </c>
      <c r="D22" t="s">
        <v>111</v>
      </c>
      <c r="E22" t="s">
        <v>22</v>
      </c>
      <c r="F22">
        <v>47</v>
      </c>
      <c r="G22" t="s">
        <v>48</v>
      </c>
      <c r="H22" t="s">
        <v>42</v>
      </c>
      <c r="I22" t="s">
        <v>117</v>
      </c>
      <c r="J22" t="s">
        <v>118</v>
      </c>
      <c r="K22">
        <v>1</v>
      </c>
      <c r="L22">
        <v>999</v>
      </c>
      <c r="M22" s="3">
        <v>0.05</v>
      </c>
      <c r="N22">
        <v>949.05</v>
      </c>
      <c r="O22">
        <v>550</v>
      </c>
      <c r="P22">
        <v>399.05</v>
      </c>
      <c r="Q22" t="s">
        <v>66</v>
      </c>
      <c r="R22" t="s">
        <v>28</v>
      </c>
      <c r="S22">
        <v>3</v>
      </c>
    </row>
    <row r="23" spans="1:19">
      <c r="A23" t="s">
        <v>123</v>
      </c>
      <c r="B23" s="2">
        <v>45748</v>
      </c>
      <c r="C23" t="s">
        <v>124</v>
      </c>
      <c r="D23" t="s">
        <v>125</v>
      </c>
      <c r="E23" t="s">
        <v>32</v>
      </c>
      <c r="F23">
        <v>22</v>
      </c>
      <c r="G23" t="s">
        <v>48</v>
      </c>
      <c r="H23" t="s">
        <v>42</v>
      </c>
      <c r="I23" t="s">
        <v>35</v>
      </c>
      <c r="J23" t="s">
        <v>126</v>
      </c>
      <c r="K23">
        <v>1</v>
      </c>
      <c r="L23">
        <v>1499</v>
      </c>
      <c r="M23" s="3">
        <v>0.15</v>
      </c>
      <c r="N23">
        <v>1274.1500000000001</v>
      </c>
      <c r="O23">
        <v>850</v>
      </c>
      <c r="P23">
        <v>424.15</v>
      </c>
      <c r="Q23" t="s">
        <v>37</v>
      </c>
      <c r="R23" t="s">
        <v>28</v>
      </c>
      <c r="S23">
        <v>1</v>
      </c>
    </row>
    <row r="24" spans="1:19">
      <c r="A24" t="s">
        <v>127</v>
      </c>
      <c r="B24" s="2">
        <v>46131</v>
      </c>
      <c r="C24" t="s">
        <v>128</v>
      </c>
      <c r="D24" t="s">
        <v>129</v>
      </c>
      <c r="E24" t="s">
        <v>22</v>
      </c>
      <c r="F24">
        <v>42</v>
      </c>
      <c r="G24" t="s">
        <v>105</v>
      </c>
      <c r="H24" t="s">
        <v>105</v>
      </c>
      <c r="I24" t="s">
        <v>35</v>
      </c>
      <c r="J24" t="s">
        <v>108</v>
      </c>
      <c r="K24">
        <v>1</v>
      </c>
      <c r="L24">
        <v>699</v>
      </c>
      <c r="M24" s="3">
        <v>0.2</v>
      </c>
      <c r="N24">
        <v>559.20000000000005</v>
      </c>
      <c r="O24">
        <v>380</v>
      </c>
      <c r="P24">
        <v>179.2</v>
      </c>
      <c r="Q24" t="s">
        <v>66</v>
      </c>
      <c r="R24" t="s">
        <v>28</v>
      </c>
      <c r="S24">
        <v>5</v>
      </c>
    </row>
    <row r="25" spans="1:19">
      <c r="A25" t="s">
        <v>130</v>
      </c>
      <c r="B25" s="2">
        <v>45710</v>
      </c>
      <c r="C25" t="s">
        <v>131</v>
      </c>
      <c r="D25" t="s">
        <v>132</v>
      </c>
      <c r="E25" t="s">
        <v>32</v>
      </c>
      <c r="F25">
        <v>44</v>
      </c>
      <c r="G25" t="s">
        <v>23</v>
      </c>
      <c r="H25" t="s">
        <v>24</v>
      </c>
      <c r="I25" t="s">
        <v>75</v>
      </c>
      <c r="J25" t="s">
        <v>106</v>
      </c>
      <c r="K25">
        <v>4</v>
      </c>
      <c r="L25">
        <v>899</v>
      </c>
      <c r="M25" s="3">
        <v>0.15</v>
      </c>
      <c r="N25">
        <v>3056.6</v>
      </c>
      <c r="O25">
        <v>2400</v>
      </c>
      <c r="P25">
        <v>656.6</v>
      </c>
      <c r="Q25" t="s">
        <v>27</v>
      </c>
      <c r="R25" t="s">
        <v>28</v>
      </c>
      <c r="S25">
        <v>2</v>
      </c>
    </row>
    <row r="26" spans="1:19">
      <c r="A26" t="s">
        <v>133</v>
      </c>
      <c r="B26" s="2">
        <v>45687</v>
      </c>
      <c r="C26" t="s">
        <v>134</v>
      </c>
      <c r="D26" t="s">
        <v>135</v>
      </c>
      <c r="E26" t="s">
        <v>32</v>
      </c>
      <c r="F26">
        <v>53</v>
      </c>
      <c r="G26" t="s">
        <v>23</v>
      </c>
      <c r="H26" t="s">
        <v>24</v>
      </c>
      <c r="I26" t="s">
        <v>35</v>
      </c>
      <c r="J26" t="s">
        <v>136</v>
      </c>
      <c r="K26">
        <v>4</v>
      </c>
      <c r="L26">
        <v>799</v>
      </c>
      <c r="M26" s="3">
        <v>0</v>
      </c>
      <c r="N26">
        <v>3196</v>
      </c>
      <c r="O26">
        <v>1800</v>
      </c>
      <c r="P26">
        <v>1396</v>
      </c>
      <c r="Q26" t="s">
        <v>50</v>
      </c>
      <c r="R26" t="s">
        <v>137</v>
      </c>
      <c r="S26">
        <v>2</v>
      </c>
    </row>
    <row r="27" spans="1:19">
      <c r="A27" t="s">
        <v>138</v>
      </c>
      <c r="B27" s="2">
        <v>46075</v>
      </c>
      <c r="C27" t="s">
        <v>139</v>
      </c>
      <c r="D27" t="s">
        <v>140</v>
      </c>
      <c r="E27" t="s">
        <v>22</v>
      </c>
      <c r="F27">
        <v>44</v>
      </c>
      <c r="G27" t="s">
        <v>141</v>
      </c>
      <c r="H27" t="s">
        <v>142</v>
      </c>
      <c r="I27" t="s">
        <v>35</v>
      </c>
      <c r="J27" t="s">
        <v>126</v>
      </c>
      <c r="K27">
        <v>1</v>
      </c>
      <c r="L27">
        <v>1499</v>
      </c>
      <c r="M27" s="3">
        <v>0.2</v>
      </c>
      <c r="N27">
        <v>1199.2</v>
      </c>
      <c r="O27">
        <v>850</v>
      </c>
      <c r="P27">
        <v>349.2</v>
      </c>
      <c r="Q27" t="s">
        <v>69</v>
      </c>
      <c r="R27" t="s">
        <v>28</v>
      </c>
      <c r="S27">
        <v>1</v>
      </c>
    </row>
    <row r="28" spans="1:19">
      <c r="A28" t="s">
        <v>143</v>
      </c>
      <c r="B28" s="2">
        <v>45956</v>
      </c>
      <c r="C28" t="s">
        <v>144</v>
      </c>
      <c r="D28" t="s">
        <v>145</v>
      </c>
      <c r="E28" t="s">
        <v>32</v>
      </c>
      <c r="F28">
        <v>37</v>
      </c>
      <c r="G28" t="s">
        <v>146</v>
      </c>
      <c r="H28" t="s">
        <v>61</v>
      </c>
      <c r="I28" t="s">
        <v>25</v>
      </c>
      <c r="J28" t="s">
        <v>56</v>
      </c>
      <c r="K28">
        <v>2</v>
      </c>
      <c r="L28">
        <v>899</v>
      </c>
      <c r="M28" s="3">
        <v>0.15</v>
      </c>
      <c r="N28">
        <v>1528.3</v>
      </c>
      <c r="O28">
        <v>1100</v>
      </c>
      <c r="P28">
        <v>428.3</v>
      </c>
      <c r="Q28" t="s">
        <v>50</v>
      </c>
      <c r="R28" t="s">
        <v>28</v>
      </c>
      <c r="S28">
        <v>4</v>
      </c>
    </row>
    <row r="29" spans="1:19">
      <c r="A29" t="s">
        <v>147</v>
      </c>
      <c r="B29" s="2">
        <v>46222</v>
      </c>
      <c r="C29" t="s">
        <v>148</v>
      </c>
      <c r="D29" t="s">
        <v>47</v>
      </c>
      <c r="E29" t="s">
        <v>22</v>
      </c>
      <c r="F29">
        <v>23</v>
      </c>
      <c r="G29" t="s">
        <v>93</v>
      </c>
      <c r="H29" t="s">
        <v>94</v>
      </c>
      <c r="I29" t="s">
        <v>35</v>
      </c>
      <c r="J29" t="s">
        <v>36</v>
      </c>
      <c r="K29">
        <v>2</v>
      </c>
      <c r="L29">
        <v>599</v>
      </c>
      <c r="M29" s="3">
        <v>0.15</v>
      </c>
      <c r="N29">
        <v>1018.3</v>
      </c>
      <c r="O29">
        <v>640</v>
      </c>
      <c r="P29">
        <v>378.3</v>
      </c>
      <c r="Q29" t="s">
        <v>27</v>
      </c>
      <c r="R29" t="s">
        <v>28</v>
      </c>
      <c r="S29">
        <v>5</v>
      </c>
    </row>
    <row r="30" spans="1:19">
      <c r="A30" t="s">
        <v>149</v>
      </c>
      <c r="B30" s="2">
        <v>45940</v>
      </c>
      <c r="C30" t="s">
        <v>150</v>
      </c>
      <c r="D30" t="s">
        <v>151</v>
      </c>
      <c r="E30" t="s">
        <v>22</v>
      </c>
      <c r="F30">
        <v>33</v>
      </c>
      <c r="G30" t="s">
        <v>81</v>
      </c>
      <c r="H30" t="s">
        <v>82</v>
      </c>
      <c r="I30" t="s">
        <v>117</v>
      </c>
      <c r="J30" t="s">
        <v>152</v>
      </c>
      <c r="K30">
        <v>2</v>
      </c>
      <c r="L30">
        <v>899</v>
      </c>
      <c r="M30" s="3">
        <v>0</v>
      </c>
      <c r="N30">
        <v>1798</v>
      </c>
      <c r="O30">
        <v>1000</v>
      </c>
      <c r="P30">
        <v>798</v>
      </c>
      <c r="Q30" t="s">
        <v>66</v>
      </c>
      <c r="R30" t="s">
        <v>28</v>
      </c>
      <c r="S30">
        <v>5</v>
      </c>
    </row>
    <row r="31" spans="1:19">
      <c r="A31" t="s">
        <v>153</v>
      </c>
      <c r="B31" s="2">
        <v>46259</v>
      </c>
      <c r="C31" t="s">
        <v>154</v>
      </c>
      <c r="D31" t="s">
        <v>155</v>
      </c>
      <c r="E31" t="s">
        <v>22</v>
      </c>
      <c r="F31">
        <v>53</v>
      </c>
      <c r="G31" t="s">
        <v>105</v>
      </c>
      <c r="H31" t="s">
        <v>105</v>
      </c>
      <c r="I31" t="s">
        <v>25</v>
      </c>
      <c r="J31" t="s">
        <v>156</v>
      </c>
      <c r="K31">
        <v>3</v>
      </c>
      <c r="L31">
        <v>1999</v>
      </c>
      <c r="M31" s="3">
        <v>0.1</v>
      </c>
      <c r="N31">
        <v>5397.3</v>
      </c>
      <c r="O31">
        <v>3900</v>
      </c>
      <c r="P31">
        <v>1497.3</v>
      </c>
      <c r="Q31" t="s">
        <v>50</v>
      </c>
      <c r="R31" t="s">
        <v>51</v>
      </c>
      <c r="S31">
        <v>4</v>
      </c>
    </row>
    <row r="32" spans="1:19">
      <c r="A32" t="s">
        <v>157</v>
      </c>
      <c r="B32" s="2">
        <v>45998</v>
      </c>
      <c r="C32" t="s">
        <v>158</v>
      </c>
      <c r="D32" t="s">
        <v>159</v>
      </c>
      <c r="E32" t="s">
        <v>32</v>
      </c>
      <c r="F32">
        <v>19</v>
      </c>
      <c r="G32" t="s">
        <v>60</v>
      </c>
      <c r="H32" t="s">
        <v>61</v>
      </c>
      <c r="I32" t="s">
        <v>35</v>
      </c>
      <c r="J32" t="s">
        <v>136</v>
      </c>
      <c r="K32">
        <v>4</v>
      </c>
      <c r="L32">
        <v>799</v>
      </c>
      <c r="M32" s="3">
        <v>0.1</v>
      </c>
      <c r="N32">
        <v>2876.4</v>
      </c>
      <c r="O32">
        <v>1800</v>
      </c>
      <c r="P32">
        <v>1076.4000000000001</v>
      </c>
      <c r="Q32" t="s">
        <v>50</v>
      </c>
      <c r="R32" t="s">
        <v>28</v>
      </c>
      <c r="S32">
        <v>4</v>
      </c>
    </row>
    <row r="33" spans="1:19">
      <c r="A33" t="s">
        <v>160</v>
      </c>
      <c r="B33" s="2">
        <v>46243</v>
      </c>
      <c r="C33" t="s">
        <v>161</v>
      </c>
      <c r="D33" t="s">
        <v>162</v>
      </c>
      <c r="E33" t="s">
        <v>22</v>
      </c>
      <c r="F33">
        <v>44</v>
      </c>
      <c r="G33" t="s">
        <v>146</v>
      </c>
      <c r="H33" t="s">
        <v>61</v>
      </c>
      <c r="I33" t="s">
        <v>163</v>
      </c>
      <c r="J33" t="s">
        <v>164</v>
      </c>
      <c r="K33">
        <v>2</v>
      </c>
      <c r="L33">
        <v>3499</v>
      </c>
      <c r="M33" s="3">
        <v>0.05</v>
      </c>
      <c r="N33">
        <v>6648.1</v>
      </c>
      <c r="O33">
        <v>4400</v>
      </c>
      <c r="P33">
        <v>2248.1</v>
      </c>
      <c r="Q33" t="s">
        <v>66</v>
      </c>
      <c r="R33" t="s">
        <v>28</v>
      </c>
      <c r="S33">
        <v>4</v>
      </c>
    </row>
    <row r="34" spans="1:19">
      <c r="A34" t="s">
        <v>165</v>
      </c>
      <c r="B34" s="2">
        <v>46053</v>
      </c>
      <c r="C34" t="s">
        <v>166</v>
      </c>
      <c r="D34" t="s">
        <v>167</v>
      </c>
      <c r="E34" t="s">
        <v>22</v>
      </c>
      <c r="F34">
        <v>36</v>
      </c>
      <c r="G34" t="s">
        <v>146</v>
      </c>
      <c r="H34" t="s">
        <v>61</v>
      </c>
      <c r="I34" t="s">
        <v>163</v>
      </c>
      <c r="J34" t="s">
        <v>164</v>
      </c>
      <c r="K34">
        <v>4</v>
      </c>
      <c r="L34">
        <v>3499</v>
      </c>
      <c r="M34" s="3">
        <v>0.15</v>
      </c>
      <c r="N34">
        <v>11896.6</v>
      </c>
      <c r="O34">
        <v>8800</v>
      </c>
      <c r="P34">
        <v>3096.6</v>
      </c>
      <c r="Q34" t="s">
        <v>27</v>
      </c>
      <c r="R34" t="s">
        <v>28</v>
      </c>
      <c r="S34">
        <v>1</v>
      </c>
    </row>
    <row r="35" spans="1:19">
      <c r="A35" t="s">
        <v>168</v>
      </c>
      <c r="B35" s="2">
        <v>46108</v>
      </c>
      <c r="C35" t="s">
        <v>169</v>
      </c>
      <c r="D35" t="s">
        <v>170</v>
      </c>
      <c r="E35" t="s">
        <v>32</v>
      </c>
      <c r="F35">
        <v>37</v>
      </c>
      <c r="G35" t="s">
        <v>60</v>
      </c>
      <c r="H35" t="s">
        <v>61</v>
      </c>
      <c r="I35" t="s">
        <v>35</v>
      </c>
      <c r="J35" t="s">
        <v>108</v>
      </c>
      <c r="K35">
        <v>3</v>
      </c>
      <c r="L35">
        <v>699</v>
      </c>
      <c r="M35" s="3">
        <v>0</v>
      </c>
      <c r="N35">
        <v>2097</v>
      </c>
      <c r="O35">
        <v>1140</v>
      </c>
      <c r="P35">
        <v>957</v>
      </c>
      <c r="Q35" t="s">
        <v>69</v>
      </c>
      <c r="R35" t="s">
        <v>28</v>
      </c>
      <c r="S35">
        <v>4</v>
      </c>
    </row>
    <row r="36" spans="1:19">
      <c r="A36" t="s">
        <v>171</v>
      </c>
      <c r="B36" s="2">
        <v>45816</v>
      </c>
      <c r="C36" t="s">
        <v>172</v>
      </c>
      <c r="D36" t="s">
        <v>173</v>
      </c>
      <c r="E36" t="s">
        <v>22</v>
      </c>
      <c r="F36">
        <v>50</v>
      </c>
      <c r="G36" t="s">
        <v>48</v>
      </c>
      <c r="H36" t="s">
        <v>42</v>
      </c>
      <c r="I36" t="s">
        <v>117</v>
      </c>
      <c r="J36" t="s">
        <v>152</v>
      </c>
      <c r="K36">
        <v>2</v>
      </c>
      <c r="L36">
        <v>899</v>
      </c>
      <c r="M36" s="3">
        <v>0.15</v>
      </c>
      <c r="N36">
        <v>1528.3</v>
      </c>
      <c r="O36">
        <v>1000</v>
      </c>
      <c r="P36">
        <v>528.29999999999995</v>
      </c>
      <c r="Q36" t="s">
        <v>69</v>
      </c>
      <c r="R36" t="s">
        <v>28</v>
      </c>
      <c r="S36">
        <v>3</v>
      </c>
    </row>
    <row r="37" spans="1:19">
      <c r="A37" t="s">
        <v>174</v>
      </c>
      <c r="B37" s="2">
        <v>45994</v>
      </c>
      <c r="C37" t="s">
        <v>175</v>
      </c>
      <c r="D37" t="s">
        <v>176</v>
      </c>
      <c r="E37" t="s">
        <v>32</v>
      </c>
      <c r="F37">
        <v>29</v>
      </c>
      <c r="G37" t="s">
        <v>60</v>
      </c>
      <c r="H37" t="s">
        <v>61</v>
      </c>
      <c r="I37" t="s">
        <v>75</v>
      </c>
      <c r="J37" t="s">
        <v>106</v>
      </c>
      <c r="K37">
        <v>4</v>
      </c>
      <c r="L37">
        <v>899</v>
      </c>
      <c r="M37" s="3">
        <v>0</v>
      </c>
      <c r="N37">
        <v>3596</v>
      </c>
      <c r="O37">
        <v>2400</v>
      </c>
      <c r="P37">
        <v>1196</v>
      </c>
      <c r="Q37" t="s">
        <v>50</v>
      </c>
      <c r="R37" t="s">
        <v>28</v>
      </c>
      <c r="S37">
        <v>3</v>
      </c>
    </row>
    <row r="38" spans="1:19">
      <c r="A38" t="s">
        <v>177</v>
      </c>
      <c r="B38" s="2">
        <v>45728</v>
      </c>
      <c r="C38" t="s">
        <v>178</v>
      </c>
      <c r="D38" t="s">
        <v>179</v>
      </c>
      <c r="E38" t="s">
        <v>32</v>
      </c>
      <c r="F38">
        <v>29</v>
      </c>
      <c r="G38" t="s">
        <v>180</v>
      </c>
      <c r="H38" t="s">
        <v>181</v>
      </c>
      <c r="I38" t="s">
        <v>35</v>
      </c>
      <c r="J38" t="s">
        <v>126</v>
      </c>
      <c r="K38">
        <v>1</v>
      </c>
      <c r="L38">
        <v>1499</v>
      </c>
      <c r="M38" s="3">
        <v>0.2</v>
      </c>
      <c r="N38">
        <v>1199.2</v>
      </c>
      <c r="O38">
        <v>850</v>
      </c>
      <c r="P38">
        <v>349.2</v>
      </c>
      <c r="Q38" t="s">
        <v>27</v>
      </c>
      <c r="R38" t="s">
        <v>28</v>
      </c>
      <c r="S38">
        <v>3</v>
      </c>
    </row>
    <row r="39" spans="1:19">
      <c r="A39" t="s">
        <v>182</v>
      </c>
      <c r="B39" s="2">
        <v>45758</v>
      </c>
      <c r="C39" t="s">
        <v>183</v>
      </c>
      <c r="D39" t="s">
        <v>184</v>
      </c>
      <c r="E39" t="s">
        <v>22</v>
      </c>
      <c r="F39">
        <v>43</v>
      </c>
      <c r="G39" t="s">
        <v>60</v>
      </c>
      <c r="H39" t="s">
        <v>61</v>
      </c>
      <c r="I39" t="s">
        <v>117</v>
      </c>
      <c r="J39" t="s">
        <v>152</v>
      </c>
      <c r="K39">
        <v>1</v>
      </c>
      <c r="L39">
        <v>899</v>
      </c>
      <c r="M39" s="3">
        <v>0.15</v>
      </c>
      <c r="N39">
        <v>764.15</v>
      </c>
      <c r="O39">
        <v>500</v>
      </c>
      <c r="P39">
        <v>264.14999999999998</v>
      </c>
      <c r="Q39" t="s">
        <v>69</v>
      </c>
      <c r="R39" t="s">
        <v>28</v>
      </c>
      <c r="S39">
        <v>3</v>
      </c>
    </row>
    <row r="40" spans="1:19">
      <c r="A40" t="s">
        <v>185</v>
      </c>
      <c r="B40" s="2">
        <v>45958</v>
      </c>
      <c r="C40" t="s">
        <v>186</v>
      </c>
      <c r="D40" t="s">
        <v>187</v>
      </c>
      <c r="E40" t="s">
        <v>22</v>
      </c>
      <c r="F40">
        <v>42</v>
      </c>
      <c r="G40" t="s">
        <v>60</v>
      </c>
      <c r="H40" t="s">
        <v>61</v>
      </c>
      <c r="I40" t="s">
        <v>25</v>
      </c>
      <c r="J40" t="s">
        <v>68</v>
      </c>
      <c r="K40">
        <v>3</v>
      </c>
      <c r="L40">
        <v>2999</v>
      </c>
      <c r="M40" s="3">
        <v>0</v>
      </c>
      <c r="N40">
        <v>8997</v>
      </c>
      <c r="O40">
        <v>5700</v>
      </c>
      <c r="P40">
        <v>3297</v>
      </c>
      <c r="Q40" t="s">
        <v>37</v>
      </c>
      <c r="R40" t="s">
        <v>28</v>
      </c>
      <c r="S40">
        <v>2</v>
      </c>
    </row>
    <row r="41" spans="1:19">
      <c r="A41" t="s">
        <v>188</v>
      </c>
      <c r="B41" s="2">
        <v>45842</v>
      </c>
      <c r="C41" t="s">
        <v>189</v>
      </c>
      <c r="D41" t="s">
        <v>190</v>
      </c>
      <c r="E41" t="s">
        <v>32</v>
      </c>
      <c r="F41">
        <v>22</v>
      </c>
      <c r="G41" t="s">
        <v>115</v>
      </c>
      <c r="H41" t="s">
        <v>116</v>
      </c>
      <c r="I41" t="s">
        <v>35</v>
      </c>
      <c r="J41" t="s">
        <v>108</v>
      </c>
      <c r="K41">
        <v>4</v>
      </c>
      <c r="L41">
        <v>699</v>
      </c>
      <c r="M41" s="3">
        <v>0.2</v>
      </c>
      <c r="N41">
        <v>2236.8000000000002</v>
      </c>
      <c r="O41">
        <v>1520</v>
      </c>
      <c r="P41">
        <v>716.8</v>
      </c>
      <c r="Q41" t="s">
        <v>27</v>
      </c>
      <c r="R41" t="s">
        <v>28</v>
      </c>
      <c r="S41">
        <v>5</v>
      </c>
    </row>
    <row r="42" spans="1:19">
      <c r="A42" t="s">
        <v>191</v>
      </c>
      <c r="B42" s="2">
        <v>46255</v>
      </c>
      <c r="C42" t="s">
        <v>192</v>
      </c>
      <c r="D42" t="s">
        <v>193</v>
      </c>
      <c r="E42" t="s">
        <v>32</v>
      </c>
      <c r="F42">
        <v>47</v>
      </c>
      <c r="G42" t="s">
        <v>93</v>
      </c>
      <c r="H42" t="s">
        <v>94</v>
      </c>
      <c r="I42" t="s">
        <v>75</v>
      </c>
      <c r="J42" t="s">
        <v>106</v>
      </c>
      <c r="K42">
        <v>2</v>
      </c>
      <c r="L42">
        <v>899</v>
      </c>
      <c r="M42" s="3">
        <v>0.15</v>
      </c>
      <c r="N42">
        <v>1528.3</v>
      </c>
      <c r="O42">
        <v>1200</v>
      </c>
      <c r="P42">
        <v>328.3</v>
      </c>
      <c r="Q42" t="s">
        <v>27</v>
      </c>
      <c r="R42" t="s">
        <v>28</v>
      </c>
      <c r="S42">
        <v>3</v>
      </c>
    </row>
    <row r="43" spans="1:19">
      <c r="A43" t="s">
        <v>194</v>
      </c>
      <c r="B43" s="2">
        <v>45952</v>
      </c>
      <c r="C43" t="s">
        <v>195</v>
      </c>
      <c r="D43" t="s">
        <v>196</v>
      </c>
      <c r="E43" t="s">
        <v>22</v>
      </c>
      <c r="F43">
        <v>54</v>
      </c>
      <c r="G43" t="s">
        <v>73</v>
      </c>
      <c r="H43" t="s">
        <v>74</v>
      </c>
      <c r="I43" t="s">
        <v>43</v>
      </c>
      <c r="J43" t="s">
        <v>197</v>
      </c>
      <c r="K43">
        <v>1</v>
      </c>
      <c r="L43">
        <v>1799</v>
      </c>
      <c r="M43" s="3">
        <v>0.15</v>
      </c>
      <c r="N43">
        <v>1529.15</v>
      </c>
      <c r="O43">
        <v>1050</v>
      </c>
      <c r="P43">
        <v>479.15</v>
      </c>
      <c r="Q43" t="s">
        <v>50</v>
      </c>
      <c r="R43" t="s">
        <v>28</v>
      </c>
      <c r="S43">
        <v>4</v>
      </c>
    </row>
    <row r="44" spans="1:19">
      <c r="A44" t="s">
        <v>198</v>
      </c>
      <c r="B44" s="2">
        <v>45914</v>
      </c>
      <c r="C44" t="s">
        <v>199</v>
      </c>
      <c r="D44" t="s">
        <v>200</v>
      </c>
      <c r="E44" t="s">
        <v>22</v>
      </c>
      <c r="F44">
        <v>42</v>
      </c>
      <c r="G44" t="s">
        <v>33</v>
      </c>
      <c r="H44" t="s">
        <v>34</v>
      </c>
      <c r="I44" t="s">
        <v>75</v>
      </c>
      <c r="J44" t="s">
        <v>86</v>
      </c>
      <c r="K44">
        <v>3</v>
      </c>
      <c r="L44">
        <v>499</v>
      </c>
      <c r="M44" s="3">
        <v>0.15</v>
      </c>
      <c r="N44">
        <v>1272.45</v>
      </c>
      <c r="O44">
        <v>900</v>
      </c>
      <c r="P44">
        <v>372.45</v>
      </c>
      <c r="Q44" t="s">
        <v>66</v>
      </c>
      <c r="R44" t="s">
        <v>137</v>
      </c>
      <c r="S44">
        <v>2</v>
      </c>
    </row>
    <row r="45" spans="1:19">
      <c r="A45" t="s">
        <v>201</v>
      </c>
      <c r="B45" s="2">
        <v>46048</v>
      </c>
      <c r="C45" t="s">
        <v>202</v>
      </c>
      <c r="D45" t="s">
        <v>89</v>
      </c>
      <c r="E45" t="s">
        <v>22</v>
      </c>
      <c r="F45">
        <v>50</v>
      </c>
      <c r="G45" t="s">
        <v>93</v>
      </c>
      <c r="H45" t="s">
        <v>94</v>
      </c>
      <c r="I45" t="s">
        <v>35</v>
      </c>
      <c r="J45" t="s">
        <v>36</v>
      </c>
      <c r="K45">
        <v>1</v>
      </c>
      <c r="L45">
        <v>599</v>
      </c>
      <c r="M45" s="3">
        <v>0.05</v>
      </c>
      <c r="N45">
        <v>569.04999999999995</v>
      </c>
      <c r="O45">
        <v>320</v>
      </c>
      <c r="P45">
        <v>249.05</v>
      </c>
      <c r="Q45" t="s">
        <v>50</v>
      </c>
      <c r="R45" t="s">
        <v>28</v>
      </c>
      <c r="S45">
        <v>3</v>
      </c>
    </row>
    <row r="46" spans="1:19">
      <c r="A46" t="s">
        <v>203</v>
      </c>
      <c r="B46" s="2">
        <v>45666</v>
      </c>
      <c r="C46" t="s">
        <v>204</v>
      </c>
      <c r="D46" t="s">
        <v>205</v>
      </c>
      <c r="E46" t="s">
        <v>22</v>
      </c>
      <c r="F46">
        <v>45</v>
      </c>
      <c r="G46" t="s">
        <v>81</v>
      </c>
      <c r="H46" t="s">
        <v>82</v>
      </c>
      <c r="I46" t="s">
        <v>25</v>
      </c>
      <c r="J46" t="s">
        <v>156</v>
      </c>
      <c r="K46">
        <v>4</v>
      </c>
      <c r="L46">
        <v>1999</v>
      </c>
      <c r="M46" s="3">
        <v>0.1</v>
      </c>
      <c r="N46">
        <v>7196.4</v>
      </c>
      <c r="O46">
        <v>5200</v>
      </c>
      <c r="P46">
        <v>1996.4</v>
      </c>
      <c r="Q46" t="s">
        <v>50</v>
      </c>
      <c r="R46" t="s">
        <v>137</v>
      </c>
      <c r="S46">
        <v>1</v>
      </c>
    </row>
    <row r="47" spans="1:19">
      <c r="A47" t="s">
        <v>206</v>
      </c>
      <c r="B47" s="2">
        <v>46018</v>
      </c>
      <c r="C47" t="s">
        <v>207</v>
      </c>
      <c r="D47" t="s">
        <v>72</v>
      </c>
      <c r="E47" t="s">
        <v>22</v>
      </c>
      <c r="F47">
        <v>48</v>
      </c>
      <c r="G47" t="s">
        <v>180</v>
      </c>
      <c r="H47" t="s">
        <v>181</v>
      </c>
      <c r="I47" t="s">
        <v>43</v>
      </c>
      <c r="J47" t="s">
        <v>44</v>
      </c>
      <c r="K47">
        <v>2</v>
      </c>
      <c r="L47">
        <v>1599</v>
      </c>
      <c r="M47" s="3">
        <v>0.2</v>
      </c>
      <c r="N47">
        <v>2558.4</v>
      </c>
      <c r="O47">
        <v>1900</v>
      </c>
      <c r="P47">
        <v>658.4</v>
      </c>
      <c r="Q47" t="s">
        <v>27</v>
      </c>
      <c r="R47" t="s">
        <v>28</v>
      </c>
      <c r="S47">
        <v>5</v>
      </c>
    </row>
    <row r="48" spans="1:19">
      <c r="A48" t="s">
        <v>208</v>
      </c>
      <c r="B48" s="2">
        <v>45698</v>
      </c>
      <c r="C48" t="s">
        <v>209</v>
      </c>
      <c r="D48" t="s">
        <v>210</v>
      </c>
      <c r="E48" t="s">
        <v>32</v>
      </c>
      <c r="F48">
        <v>26</v>
      </c>
      <c r="G48" t="s">
        <v>23</v>
      </c>
      <c r="H48" t="s">
        <v>24</v>
      </c>
      <c r="I48" t="s">
        <v>117</v>
      </c>
      <c r="J48" t="s">
        <v>118</v>
      </c>
      <c r="K48">
        <v>2</v>
      </c>
      <c r="L48">
        <v>999</v>
      </c>
      <c r="M48" s="3">
        <v>0</v>
      </c>
      <c r="N48">
        <v>1998</v>
      </c>
      <c r="O48">
        <v>1100</v>
      </c>
      <c r="P48">
        <v>898</v>
      </c>
      <c r="Q48" t="s">
        <v>37</v>
      </c>
      <c r="R48" t="s">
        <v>137</v>
      </c>
      <c r="S48">
        <v>1</v>
      </c>
    </row>
    <row r="49" spans="1:19">
      <c r="A49" t="s">
        <v>211</v>
      </c>
      <c r="B49" s="2">
        <v>45960</v>
      </c>
      <c r="C49" t="s">
        <v>212</v>
      </c>
      <c r="D49" t="s">
        <v>213</v>
      </c>
      <c r="E49" t="s">
        <v>22</v>
      </c>
      <c r="F49">
        <v>33</v>
      </c>
      <c r="G49" t="s">
        <v>48</v>
      </c>
      <c r="H49" t="s">
        <v>42</v>
      </c>
      <c r="I49" t="s">
        <v>163</v>
      </c>
      <c r="J49" t="s">
        <v>214</v>
      </c>
      <c r="K49">
        <v>2</v>
      </c>
      <c r="L49">
        <v>1499</v>
      </c>
      <c r="M49" s="3">
        <v>0</v>
      </c>
      <c r="N49">
        <v>2998</v>
      </c>
      <c r="O49">
        <v>1800</v>
      </c>
      <c r="P49">
        <v>1198</v>
      </c>
      <c r="Q49" t="s">
        <v>37</v>
      </c>
      <c r="R49" t="s">
        <v>28</v>
      </c>
      <c r="S49">
        <v>2</v>
      </c>
    </row>
    <row r="50" spans="1:19">
      <c r="A50" t="s">
        <v>215</v>
      </c>
      <c r="B50" s="2">
        <v>46171</v>
      </c>
      <c r="C50" t="s">
        <v>216</v>
      </c>
      <c r="D50" t="s">
        <v>217</v>
      </c>
      <c r="E50" t="s">
        <v>22</v>
      </c>
      <c r="F50">
        <v>43</v>
      </c>
      <c r="G50" t="s">
        <v>115</v>
      </c>
      <c r="H50" t="s">
        <v>116</v>
      </c>
      <c r="I50" t="s">
        <v>25</v>
      </c>
      <c r="J50" t="s">
        <v>62</v>
      </c>
      <c r="K50">
        <v>3</v>
      </c>
      <c r="L50">
        <v>1299</v>
      </c>
      <c r="M50" s="3">
        <v>0.2</v>
      </c>
      <c r="N50">
        <v>3117.6</v>
      </c>
      <c r="O50">
        <v>2400</v>
      </c>
      <c r="P50">
        <v>717.6</v>
      </c>
      <c r="Q50" t="s">
        <v>37</v>
      </c>
      <c r="R50" t="s">
        <v>137</v>
      </c>
      <c r="S50">
        <v>3</v>
      </c>
    </row>
    <row r="51" spans="1:19">
      <c r="A51" t="s">
        <v>218</v>
      </c>
      <c r="B51" s="2">
        <v>46137</v>
      </c>
      <c r="C51" t="s">
        <v>148</v>
      </c>
      <c r="D51" t="s">
        <v>47</v>
      </c>
      <c r="E51" t="s">
        <v>22</v>
      </c>
      <c r="F51">
        <v>23</v>
      </c>
      <c r="G51" t="s">
        <v>93</v>
      </c>
      <c r="H51" t="s">
        <v>94</v>
      </c>
      <c r="I51" t="s">
        <v>43</v>
      </c>
      <c r="J51" t="s">
        <v>44</v>
      </c>
      <c r="K51">
        <v>3</v>
      </c>
      <c r="L51">
        <v>1599</v>
      </c>
      <c r="M51" s="3">
        <v>0</v>
      </c>
      <c r="N51">
        <v>4797</v>
      </c>
      <c r="O51">
        <v>2850</v>
      </c>
      <c r="P51">
        <v>1947</v>
      </c>
      <c r="Q51" t="s">
        <v>69</v>
      </c>
      <c r="R51" t="s">
        <v>28</v>
      </c>
      <c r="S51">
        <v>2</v>
      </c>
    </row>
    <row r="52" spans="1:19">
      <c r="A52" t="s">
        <v>219</v>
      </c>
      <c r="B52" s="2">
        <v>46062</v>
      </c>
      <c r="C52" t="s">
        <v>220</v>
      </c>
      <c r="D52" t="s">
        <v>221</v>
      </c>
      <c r="E52" t="s">
        <v>22</v>
      </c>
      <c r="F52">
        <v>27</v>
      </c>
      <c r="G52" t="s">
        <v>141</v>
      </c>
      <c r="H52" t="s">
        <v>142</v>
      </c>
      <c r="I52" t="s">
        <v>35</v>
      </c>
      <c r="J52" t="s">
        <v>126</v>
      </c>
      <c r="K52">
        <v>3</v>
      </c>
      <c r="L52">
        <v>1499</v>
      </c>
      <c r="M52" s="3">
        <v>0</v>
      </c>
      <c r="N52">
        <v>4497</v>
      </c>
      <c r="O52">
        <v>2550</v>
      </c>
      <c r="P52">
        <v>1947</v>
      </c>
      <c r="Q52" t="s">
        <v>69</v>
      </c>
      <c r="R52" t="s">
        <v>28</v>
      </c>
      <c r="S52">
        <v>1</v>
      </c>
    </row>
    <row r="53" spans="1:19">
      <c r="A53" t="s">
        <v>222</v>
      </c>
      <c r="B53" s="2">
        <v>46048</v>
      </c>
      <c r="C53" t="s">
        <v>161</v>
      </c>
      <c r="D53" t="s">
        <v>162</v>
      </c>
      <c r="E53" t="s">
        <v>22</v>
      </c>
      <c r="F53">
        <v>44</v>
      </c>
      <c r="G53" t="s">
        <v>146</v>
      </c>
      <c r="H53" t="s">
        <v>61</v>
      </c>
      <c r="I53" t="s">
        <v>163</v>
      </c>
      <c r="J53" t="s">
        <v>214</v>
      </c>
      <c r="K53">
        <v>3</v>
      </c>
      <c r="L53">
        <v>1499</v>
      </c>
      <c r="M53" s="3">
        <v>0.2</v>
      </c>
      <c r="N53">
        <v>3597.6</v>
      </c>
      <c r="O53">
        <v>2700</v>
      </c>
      <c r="P53">
        <v>897.6</v>
      </c>
      <c r="Q53" t="s">
        <v>37</v>
      </c>
      <c r="R53" t="s">
        <v>28</v>
      </c>
      <c r="S53">
        <v>2</v>
      </c>
    </row>
    <row r="54" spans="1:19">
      <c r="A54" t="s">
        <v>223</v>
      </c>
      <c r="B54" s="2">
        <v>45884</v>
      </c>
      <c r="C54" t="s">
        <v>224</v>
      </c>
      <c r="D54" t="s">
        <v>225</v>
      </c>
      <c r="E54" t="s">
        <v>32</v>
      </c>
      <c r="F54">
        <v>19</v>
      </c>
      <c r="G54" t="s">
        <v>33</v>
      </c>
      <c r="H54" t="s">
        <v>34</v>
      </c>
      <c r="I54" t="s">
        <v>25</v>
      </c>
      <c r="J54" t="s">
        <v>156</v>
      </c>
      <c r="K54">
        <v>3</v>
      </c>
      <c r="L54">
        <v>1999</v>
      </c>
      <c r="M54" s="3">
        <v>0.2</v>
      </c>
      <c r="N54">
        <v>4797.6000000000004</v>
      </c>
      <c r="O54">
        <v>3900</v>
      </c>
      <c r="P54">
        <v>897.6</v>
      </c>
      <c r="Q54" t="s">
        <v>69</v>
      </c>
      <c r="R54" t="s">
        <v>28</v>
      </c>
      <c r="S54">
        <v>4</v>
      </c>
    </row>
    <row r="55" spans="1:19">
      <c r="A55" t="s">
        <v>226</v>
      </c>
      <c r="B55" s="2">
        <v>45801</v>
      </c>
      <c r="C55" t="s">
        <v>227</v>
      </c>
      <c r="D55" t="s">
        <v>228</v>
      </c>
      <c r="E55" t="s">
        <v>22</v>
      </c>
      <c r="F55">
        <v>24</v>
      </c>
      <c r="G55" t="s">
        <v>93</v>
      </c>
      <c r="H55" t="s">
        <v>94</v>
      </c>
      <c r="I55" t="s">
        <v>75</v>
      </c>
      <c r="J55" t="s">
        <v>76</v>
      </c>
      <c r="K55">
        <v>4</v>
      </c>
      <c r="L55">
        <v>399</v>
      </c>
      <c r="M55" s="3">
        <v>0</v>
      </c>
      <c r="N55">
        <v>1596</v>
      </c>
      <c r="O55">
        <v>880</v>
      </c>
      <c r="P55">
        <v>716</v>
      </c>
      <c r="Q55" t="s">
        <v>69</v>
      </c>
      <c r="R55" t="s">
        <v>77</v>
      </c>
      <c r="S55">
        <v>3</v>
      </c>
    </row>
    <row r="56" spans="1:19">
      <c r="A56" t="s">
        <v>229</v>
      </c>
      <c r="B56" s="2">
        <v>46208</v>
      </c>
      <c r="C56" t="s">
        <v>230</v>
      </c>
      <c r="D56" t="s">
        <v>231</v>
      </c>
      <c r="E56" t="s">
        <v>32</v>
      </c>
      <c r="F56">
        <v>35</v>
      </c>
      <c r="G56" t="s">
        <v>55</v>
      </c>
      <c r="H56" t="s">
        <v>34</v>
      </c>
      <c r="I56" t="s">
        <v>25</v>
      </c>
      <c r="J56" t="s">
        <v>56</v>
      </c>
      <c r="K56">
        <v>1</v>
      </c>
      <c r="L56">
        <v>899</v>
      </c>
      <c r="M56" s="3">
        <v>0.05</v>
      </c>
      <c r="N56">
        <v>854.05</v>
      </c>
      <c r="O56">
        <v>550</v>
      </c>
      <c r="P56">
        <v>304.05</v>
      </c>
      <c r="Q56" t="s">
        <v>27</v>
      </c>
      <c r="R56" t="s">
        <v>28</v>
      </c>
      <c r="S56">
        <v>3</v>
      </c>
    </row>
    <row r="57" spans="1:19">
      <c r="A57" t="s">
        <v>232</v>
      </c>
      <c r="B57" s="2">
        <v>45759</v>
      </c>
      <c r="C57" t="s">
        <v>233</v>
      </c>
      <c r="D57" t="s">
        <v>213</v>
      </c>
      <c r="E57" t="s">
        <v>32</v>
      </c>
      <c r="F57">
        <v>18</v>
      </c>
      <c r="G57" t="s">
        <v>93</v>
      </c>
      <c r="H57" t="s">
        <v>94</v>
      </c>
      <c r="I57" t="s">
        <v>163</v>
      </c>
      <c r="J57" t="s">
        <v>234</v>
      </c>
      <c r="K57">
        <v>2</v>
      </c>
      <c r="L57">
        <v>999</v>
      </c>
      <c r="M57" s="3">
        <v>0.15</v>
      </c>
      <c r="N57">
        <v>1698.3</v>
      </c>
      <c r="O57">
        <v>1200</v>
      </c>
      <c r="P57">
        <v>498.3</v>
      </c>
      <c r="Q57" t="s">
        <v>66</v>
      </c>
      <c r="R57" t="s">
        <v>28</v>
      </c>
      <c r="S57">
        <v>3</v>
      </c>
    </row>
    <row r="58" spans="1:19">
      <c r="A58" t="s">
        <v>235</v>
      </c>
      <c r="B58" s="2">
        <v>46112</v>
      </c>
      <c r="C58" t="s">
        <v>236</v>
      </c>
      <c r="D58" t="s">
        <v>237</v>
      </c>
      <c r="E58" t="s">
        <v>32</v>
      </c>
      <c r="F58">
        <v>34</v>
      </c>
      <c r="G58" t="s">
        <v>180</v>
      </c>
      <c r="H58" t="s">
        <v>181</v>
      </c>
      <c r="I58" t="s">
        <v>117</v>
      </c>
      <c r="J58" t="s">
        <v>238</v>
      </c>
      <c r="K58">
        <v>3</v>
      </c>
      <c r="L58">
        <v>2499</v>
      </c>
      <c r="M58" s="3">
        <v>0.05</v>
      </c>
      <c r="N58">
        <v>7122.15</v>
      </c>
      <c r="O58">
        <v>4500</v>
      </c>
      <c r="P58">
        <v>2622.15</v>
      </c>
      <c r="Q58" t="s">
        <v>66</v>
      </c>
      <c r="R58" t="s">
        <v>51</v>
      </c>
      <c r="S58">
        <v>3</v>
      </c>
    </row>
    <row r="59" spans="1:19">
      <c r="A59" t="s">
        <v>239</v>
      </c>
      <c r="B59" s="2">
        <v>46025</v>
      </c>
      <c r="C59" t="s">
        <v>240</v>
      </c>
      <c r="D59" t="s">
        <v>241</v>
      </c>
      <c r="E59" t="s">
        <v>32</v>
      </c>
      <c r="F59">
        <v>51</v>
      </c>
      <c r="G59" t="s">
        <v>81</v>
      </c>
      <c r="H59" t="s">
        <v>82</v>
      </c>
      <c r="I59" t="s">
        <v>117</v>
      </c>
      <c r="J59" t="s">
        <v>118</v>
      </c>
      <c r="K59">
        <v>3</v>
      </c>
      <c r="L59">
        <v>999</v>
      </c>
      <c r="M59" s="3">
        <v>0.2</v>
      </c>
      <c r="N59">
        <v>2397.6</v>
      </c>
      <c r="O59">
        <v>1650</v>
      </c>
      <c r="P59">
        <v>747.6</v>
      </c>
      <c r="Q59" t="s">
        <v>69</v>
      </c>
      <c r="R59" t="s">
        <v>28</v>
      </c>
      <c r="S59">
        <v>2</v>
      </c>
    </row>
    <row r="60" spans="1:19">
      <c r="A60" t="s">
        <v>242</v>
      </c>
      <c r="B60" s="2">
        <v>45679</v>
      </c>
      <c r="C60" t="s">
        <v>243</v>
      </c>
      <c r="D60" t="s">
        <v>244</v>
      </c>
      <c r="E60" t="s">
        <v>22</v>
      </c>
      <c r="F60">
        <v>38</v>
      </c>
      <c r="G60" t="s">
        <v>23</v>
      </c>
      <c r="H60" t="s">
        <v>24</v>
      </c>
      <c r="I60" t="s">
        <v>35</v>
      </c>
      <c r="J60" t="s">
        <v>136</v>
      </c>
      <c r="K60">
        <v>1</v>
      </c>
      <c r="L60">
        <v>799</v>
      </c>
      <c r="M60" s="3">
        <v>0.05</v>
      </c>
      <c r="N60">
        <v>759.05</v>
      </c>
      <c r="O60">
        <v>450</v>
      </c>
      <c r="P60">
        <v>309.05</v>
      </c>
      <c r="Q60" t="s">
        <v>69</v>
      </c>
      <c r="R60" t="s">
        <v>137</v>
      </c>
      <c r="S60">
        <v>2</v>
      </c>
    </row>
    <row r="61" spans="1:19">
      <c r="A61" t="s">
        <v>245</v>
      </c>
      <c r="B61" s="2">
        <v>46225</v>
      </c>
      <c r="C61" t="s">
        <v>169</v>
      </c>
      <c r="D61" t="s">
        <v>170</v>
      </c>
      <c r="E61" t="s">
        <v>32</v>
      </c>
      <c r="F61">
        <v>37</v>
      </c>
      <c r="G61" t="s">
        <v>60</v>
      </c>
      <c r="H61" t="s">
        <v>61</v>
      </c>
      <c r="I61" t="s">
        <v>75</v>
      </c>
      <c r="J61" t="s">
        <v>86</v>
      </c>
      <c r="K61">
        <v>2</v>
      </c>
      <c r="L61">
        <v>499</v>
      </c>
      <c r="M61" s="3">
        <v>0</v>
      </c>
      <c r="N61">
        <v>998</v>
      </c>
      <c r="O61">
        <v>600</v>
      </c>
      <c r="P61">
        <v>398</v>
      </c>
      <c r="Q61" t="s">
        <v>27</v>
      </c>
      <c r="R61" t="s">
        <v>28</v>
      </c>
      <c r="S61">
        <v>2</v>
      </c>
    </row>
    <row r="62" spans="1:19">
      <c r="A62" t="s">
        <v>246</v>
      </c>
      <c r="B62" s="2">
        <v>45806</v>
      </c>
      <c r="C62" t="s">
        <v>247</v>
      </c>
      <c r="D62" t="s">
        <v>248</v>
      </c>
      <c r="E62" t="s">
        <v>32</v>
      </c>
      <c r="F62">
        <v>35</v>
      </c>
      <c r="G62" t="s">
        <v>33</v>
      </c>
      <c r="H62" t="s">
        <v>34</v>
      </c>
      <c r="I62" t="s">
        <v>25</v>
      </c>
      <c r="J62" t="s">
        <v>62</v>
      </c>
      <c r="K62">
        <v>1</v>
      </c>
      <c r="L62">
        <v>1299</v>
      </c>
      <c r="M62" s="3">
        <v>0.1</v>
      </c>
      <c r="N62">
        <v>1169.0999999999999</v>
      </c>
      <c r="O62">
        <v>800</v>
      </c>
      <c r="P62">
        <v>369.1</v>
      </c>
      <c r="Q62" t="s">
        <v>27</v>
      </c>
      <c r="R62" t="s">
        <v>28</v>
      </c>
      <c r="S62">
        <v>2</v>
      </c>
    </row>
    <row r="63" spans="1:19">
      <c r="A63" t="s">
        <v>249</v>
      </c>
      <c r="B63" s="2">
        <v>45673</v>
      </c>
      <c r="C63" t="s">
        <v>250</v>
      </c>
      <c r="D63" t="s">
        <v>241</v>
      </c>
      <c r="E63" t="s">
        <v>32</v>
      </c>
      <c r="F63">
        <v>18</v>
      </c>
      <c r="G63" t="s">
        <v>251</v>
      </c>
      <c r="H63" t="s">
        <v>251</v>
      </c>
      <c r="I63" t="s">
        <v>117</v>
      </c>
      <c r="J63" t="s">
        <v>118</v>
      </c>
      <c r="K63">
        <v>1</v>
      </c>
      <c r="L63">
        <v>999</v>
      </c>
      <c r="M63" s="3">
        <v>0.05</v>
      </c>
      <c r="N63">
        <v>949.05</v>
      </c>
      <c r="O63">
        <v>550</v>
      </c>
      <c r="P63">
        <v>399.05</v>
      </c>
      <c r="Q63" t="s">
        <v>37</v>
      </c>
      <c r="R63" t="s">
        <v>137</v>
      </c>
      <c r="S63">
        <v>2</v>
      </c>
    </row>
    <row r="64" spans="1:19">
      <c r="A64" t="s">
        <v>252</v>
      </c>
      <c r="B64" s="2">
        <v>45711</v>
      </c>
      <c r="C64" t="s">
        <v>110</v>
      </c>
      <c r="D64" t="s">
        <v>111</v>
      </c>
      <c r="E64" t="s">
        <v>22</v>
      </c>
      <c r="F64">
        <v>47</v>
      </c>
      <c r="G64" t="s">
        <v>48</v>
      </c>
      <c r="H64" t="s">
        <v>42</v>
      </c>
      <c r="I64" t="s">
        <v>25</v>
      </c>
      <c r="J64" t="s">
        <v>156</v>
      </c>
      <c r="K64">
        <v>2</v>
      </c>
      <c r="L64">
        <v>1999</v>
      </c>
      <c r="M64" s="3">
        <v>0.1</v>
      </c>
      <c r="N64">
        <v>3598.2</v>
      </c>
      <c r="O64">
        <v>2600</v>
      </c>
      <c r="P64">
        <v>998.2</v>
      </c>
      <c r="Q64" t="s">
        <v>27</v>
      </c>
      <c r="R64" t="s">
        <v>28</v>
      </c>
      <c r="S64">
        <v>5</v>
      </c>
    </row>
    <row r="65" spans="1:19">
      <c r="A65" t="s">
        <v>253</v>
      </c>
      <c r="B65" s="2">
        <v>46117</v>
      </c>
      <c r="C65" t="s">
        <v>254</v>
      </c>
      <c r="D65" t="s">
        <v>255</v>
      </c>
      <c r="E65" t="s">
        <v>22</v>
      </c>
      <c r="F65">
        <v>50</v>
      </c>
      <c r="G65" t="s">
        <v>141</v>
      </c>
      <c r="H65" t="s">
        <v>142</v>
      </c>
      <c r="I65" t="s">
        <v>117</v>
      </c>
      <c r="J65" t="s">
        <v>152</v>
      </c>
      <c r="K65">
        <v>1</v>
      </c>
      <c r="L65">
        <v>899</v>
      </c>
      <c r="M65" s="3">
        <v>0.15</v>
      </c>
      <c r="N65">
        <v>764.15</v>
      </c>
      <c r="O65">
        <v>500</v>
      </c>
      <c r="P65">
        <v>264.14999999999998</v>
      </c>
      <c r="Q65" t="s">
        <v>37</v>
      </c>
      <c r="R65" t="s">
        <v>28</v>
      </c>
      <c r="S65">
        <v>1</v>
      </c>
    </row>
    <row r="66" spans="1:19">
      <c r="A66" t="s">
        <v>256</v>
      </c>
      <c r="B66" s="2">
        <v>45702</v>
      </c>
      <c r="C66" t="s">
        <v>257</v>
      </c>
      <c r="D66" t="s">
        <v>125</v>
      </c>
      <c r="E66" t="s">
        <v>32</v>
      </c>
      <c r="F66">
        <v>52</v>
      </c>
      <c r="G66" t="s">
        <v>33</v>
      </c>
      <c r="H66" t="s">
        <v>34</v>
      </c>
      <c r="I66" t="s">
        <v>35</v>
      </c>
      <c r="J66" t="s">
        <v>108</v>
      </c>
      <c r="K66">
        <v>2</v>
      </c>
      <c r="L66">
        <v>699</v>
      </c>
      <c r="M66" s="3">
        <v>0.2</v>
      </c>
      <c r="N66">
        <v>1118.4000000000001</v>
      </c>
      <c r="O66">
        <v>760</v>
      </c>
      <c r="P66">
        <v>358.4</v>
      </c>
      <c r="Q66" t="s">
        <v>50</v>
      </c>
      <c r="R66" t="s">
        <v>28</v>
      </c>
      <c r="S66">
        <v>1</v>
      </c>
    </row>
    <row r="67" spans="1:19">
      <c r="A67" t="s">
        <v>258</v>
      </c>
      <c r="B67" s="2">
        <v>45768</v>
      </c>
      <c r="C67" t="s">
        <v>259</v>
      </c>
      <c r="D67" t="s">
        <v>125</v>
      </c>
      <c r="E67" t="s">
        <v>22</v>
      </c>
      <c r="F67">
        <v>28</v>
      </c>
      <c r="G67" t="s">
        <v>23</v>
      </c>
      <c r="H67" t="s">
        <v>24</v>
      </c>
      <c r="I67" t="s">
        <v>35</v>
      </c>
      <c r="J67" t="s">
        <v>36</v>
      </c>
      <c r="K67">
        <v>4</v>
      </c>
      <c r="L67">
        <v>599</v>
      </c>
      <c r="M67" s="3">
        <v>0.15</v>
      </c>
      <c r="N67">
        <v>2036.6</v>
      </c>
      <c r="O67">
        <v>1280</v>
      </c>
      <c r="P67">
        <v>756.6</v>
      </c>
      <c r="Q67" t="s">
        <v>66</v>
      </c>
      <c r="R67" t="s">
        <v>28</v>
      </c>
      <c r="S67">
        <v>4</v>
      </c>
    </row>
    <row r="68" spans="1:19">
      <c r="A68" t="s">
        <v>260</v>
      </c>
      <c r="B68" s="2">
        <v>45809</v>
      </c>
      <c r="C68" t="s">
        <v>261</v>
      </c>
      <c r="D68" t="s">
        <v>262</v>
      </c>
      <c r="E68" t="s">
        <v>22</v>
      </c>
      <c r="F68">
        <v>54</v>
      </c>
      <c r="G68" t="s">
        <v>60</v>
      </c>
      <c r="H68" t="s">
        <v>61</v>
      </c>
      <c r="I68" t="s">
        <v>25</v>
      </c>
      <c r="J68" t="s">
        <v>26</v>
      </c>
      <c r="K68">
        <v>3</v>
      </c>
      <c r="L68">
        <v>2499</v>
      </c>
      <c r="M68" s="3">
        <v>0.2</v>
      </c>
      <c r="N68">
        <v>5997.6</v>
      </c>
      <c r="O68">
        <v>4800</v>
      </c>
      <c r="P68">
        <v>1197.5999999999999</v>
      </c>
      <c r="Q68" t="s">
        <v>69</v>
      </c>
      <c r="R68" t="s">
        <v>28</v>
      </c>
      <c r="S68">
        <v>5</v>
      </c>
    </row>
    <row r="69" spans="1:19">
      <c r="A69" t="s">
        <v>263</v>
      </c>
      <c r="B69" s="2">
        <v>46201</v>
      </c>
      <c r="C69" t="s">
        <v>264</v>
      </c>
      <c r="D69" t="s">
        <v>265</v>
      </c>
      <c r="E69" t="s">
        <v>22</v>
      </c>
      <c r="F69">
        <v>48</v>
      </c>
      <c r="G69" t="s">
        <v>23</v>
      </c>
      <c r="H69" t="s">
        <v>24</v>
      </c>
      <c r="I69" t="s">
        <v>35</v>
      </c>
      <c r="J69" t="s">
        <v>126</v>
      </c>
      <c r="K69">
        <v>3</v>
      </c>
      <c r="L69">
        <v>1499</v>
      </c>
      <c r="M69" s="3">
        <v>0.15</v>
      </c>
      <c r="N69">
        <v>3822.45</v>
      </c>
      <c r="O69">
        <v>2550</v>
      </c>
      <c r="P69">
        <v>1272.45</v>
      </c>
      <c r="Q69" t="s">
        <v>37</v>
      </c>
      <c r="R69" t="s">
        <v>28</v>
      </c>
      <c r="S69">
        <v>5</v>
      </c>
    </row>
    <row r="70" spans="1:19">
      <c r="A70" t="s">
        <v>266</v>
      </c>
      <c r="B70" s="2">
        <v>45878</v>
      </c>
      <c r="C70" t="s">
        <v>267</v>
      </c>
      <c r="D70" t="s">
        <v>268</v>
      </c>
      <c r="E70" t="s">
        <v>22</v>
      </c>
      <c r="F70">
        <v>35</v>
      </c>
      <c r="G70" t="s">
        <v>141</v>
      </c>
      <c r="H70" t="s">
        <v>142</v>
      </c>
      <c r="I70" t="s">
        <v>25</v>
      </c>
      <c r="J70" t="s">
        <v>56</v>
      </c>
      <c r="K70">
        <v>1</v>
      </c>
      <c r="L70">
        <v>899</v>
      </c>
      <c r="M70" s="3">
        <v>0.2</v>
      </c>
      <c r="N70">
        <v>719.2</v>
      </c>
      <c r="O70">
        <v>550</v>
      </c>
      <c r="P70">
        <v>169.2</v>
      </c>
      <c r="Q70" t="s">
        <v>66</v>
      </c>
      <c r="R70" t="s">
        <v>28</v>
      </c>
      <c r="S70">
        <v>2</v>
      </c>
    </row>
    <row r="71" spans="1:19">
      <c r="A71" t="s">
        <v>269</v>
      </c>
      <c r="B71" s="2">
        <v>46083</v>
      </c>
      <c r="C71" t="s">
        <v>270</v>
      </c>
      <c r="D71" t="s">
        <v>271</v>
      </c>
      <c r="E71" t="s">
        <v>22</v>
      </c>
      <c r="F71">
        <v>51</v>
      </c>
      <c r="G71" t="s">
        <v>48</v>
      </c>
      <c r="H71" t="s">
        <v>42</v>
      </c>
      <c r="I71" t="s">
        <v>163</v>
      </c>
      <c r="J71" t="s">
        <v>164</v>
      </c>
      <c r="K71">
        <v>4</v>
      </c>
      <c r="L71">
        <v>3499</v>
      </c>
      <c r="M71" s="3">
        <v>0.15</v>
      </c>
      <c r="N71">
        <v>11896.6</v>
      </c>
      <c r="O71">
        <v>8800</v>
      </c>
      <c r="P71">
        <v>3096.6</v>
      </c>
      <c r="Q71" t="s">
        <v>69</v>
      </c>
      <c r="R71" t="s">
        <v>28</v>
      </c>
      <c r="S71">
        <v>3</v>
      </c>
    </row>
    <row r="72" spans="1:19">
      <c r="A72" t="s">
        <v>272</v>
      </c>
      <c r="B72" s="2">
        <v>45726</v>
      </c>
      <c r="C72" t="s">
        <v>273</v>
      </c>
      <c r="D72" t="s">
        <v>274</v>
      </c>
      <c r="E72" t="s">
        <v>22</v>
      </c>
      <c r="F72">
        <v>41</v>
      </c>
      <c r="G72" t="s">
        <v>105</v>
      </c>
      <c r="H72" t="s">
        <v>105</v>
      </c>
      <c r="I72" t="s">
        <v>163</v>
      </c>
      <c r="J72" t="s">
        <v>214</v>
      </c>
      <c r="K72">
        <v>2</v>
      </c>
      <c r="L72">
        <v>1499</v>
      </c>
      <c r="M72" s="3">
        <v>0.15</v>
      </c>
      <c r="N72">
        <v>2548.3000000000002</v>
      </c>
      <c r="O72">
        <v>1800</v>
      </c>
      <c r="P72">
        <v>748.3</v>
      </c>
      <c r="Q72" t="s">
        <v>69</v>
      </c>
      <c r="R72" t="s">
        <v>137</v>
      </c>
      <c r="S72">
        <v>1</v>
      </c>
    </row>
    <row r="73" spans="1:19">
      <c r="A73" t="s">
        <v>275</v>
      </c>
      <c r="B73" s="2">
        <v>46227</v>
      </c>
      <c r="C73" t="s">
        <v>267</v>
      </c>
      <c r="D73" t="s">
        <v>268</v>
      </c>
      <c r="E73" t="s">
        <v>22</v>
      </c>
      <c r="F73">
        <v>35</v>
      </c>
      <c r="G73" t="s">
        <v>141</v>
      </c>
      <c r="H73" t="s">
        <v>142</v>
      </c>
      <c r="I73" t="s">
        <v>25</v>
      </c>
      <c r="J73" t="s">
        <v>56</v>
      </c>
      <c r="K73">
        <v>3</v>
      </c>
      <c r="L73">
        <v>899</v>
      </c>
      <c r="M73" s="3">
        <v>0.05</v>
      </c>
      <c r="N73">
        <v>2562.15</v>
      </c>
      <c r="O73">
        <v>1650</v>
      </c>
      <c r="P73">
        <v>912.15</v>
      </c>
      <c r="Q73" t="s">
        <v>69</v>
      </c>
      <c r="R73" t="s">
        <v>28</v>
      </c>
      <c r="S73">
        <v>5</v>
      </c>
    </row>
    <row r="74" spans="1:19">
      <c r="A74" t="s">
        <v>276</v>
      </c>
      <c r="B74" s="2">
        <v>46020</v>
      </c>
      <c r="C74" t="s">
        <v>277</v>
      </c>
      <c r="D74" t="s">
        <v>278</v>
      </c>
      <c r="E74" t="s">
        <v>32</v>
      </c>
      <c r="F74">
        <v>33</v>
      </c>
      <c r="G74" t="s">
        <v>105</v>
      </c>
      <c r="H74" t="s">
        <v>105</v>
      </c>
      <c r="I74" t="s">
        <v>163</v>
      </c>
      <c r="J74" t="s">
        <v>164</v>
      </c>
      <c r="K74">
        <v>1</v>
      </c>
      <c r="L74">
        <v>3499</v>
      </c>
      <c r="M74" s="3">
        <v>0.15</v>
      </c>
      <c r="N74">
        <v>2974.15</v>
      </c>
      <c r="O74">
        <v>2200</v>
      </c>
      <c r="P74">
        <v>774.15</v>
      </c>
      <c r="Q74" t="s">
        <v>66</v>
      </c>
      <c r="R74" t="s">
        <v>137</v>
      </c>
      <c r="S74">
        <v>1</v>
      </c>
    </row>
    <row r="75" spans="1:19">
      <c r="A75" t="s">
        <v>279</v>
      </c>
      <c r="B75" s="2">
        <v>45764</v>
      </c>
      <c r="C75" t="s">
        <v>134</v>
      </c>
      <c r="D75" t="s">
        <v>135</v>
      </c>
      <c r="E75" t="s">
        <v>32</v>
      </c>
      <c r="F75">
        <v>53</v>
      </c>
      <c r="G75" t="s">
        <v>23</v>
      </c>
      <c r="H75" t="s">
        <v>24</v>
      </c>
      <c r="I75" t="s">
        <v>75</v>
      </c>
      <c r="J75" t="s">
        <v>106</v>
      </c>
      <c r="K75">
        <v>3</v>
      </c>
      <c r="L75">
        <v>899</v>
      </c>
      <c r="M75" s="3">
        <v>0.1</v>
      </c>
      <c r="N75">
        <v>2427.3000000000002</v>
      </c>
      <c r="O75">
        <v>1800</v>
      </c>
      <c r="P75">
        <v>627.29999999999995</v>
      </c>
      <c r="Q75" t="s">
        <v>50</v>
      </c>
      <c r="R75" t="s">
        <v>28</v>
      </c>
      <c r="S75">
        <v>2</v>
      </c>
    </row>
    <row r="76" spans="1:19">
      <c r="A76" t="s">
        <v>280</v>
      </c>
      <c r="B76" s="2">
        <v>46227</v>
      </c>
      <c r="C76" t="s">
        <v>148</v>
      </c>
      <c r="D76" t="s">
        <v>47</v>
      </c>
      <c r="E76" t="s">
        <v>22</v>
      </c>
      <c r="F76">
        <v>23</v>
      </c>
      <c r="G76" t="s">
        <v>93</v>
      </c>
      <c r="H76" t="s">
        <v>94</v>
      </c>
      <c r="I76" t="s">
        <v>43</v>
      </c>
      <c r="J76" t="s">
        <v>281</v>
      </c>
      <c r="K76">
        <v>1</v>
      </c>
      <c r="L76">
        <v>2999</v>
      </c>
      <c r="M76" s="3">
        <v>0.1</v>
      </c>
      <c r="N76">
        <v>2699.1</v>
      </c>
      <c r="O76">
        <v>1800</v>
      </c>
      <c r="P76">
        <v>899.1</v>
      </c>
      <c r="Q76" t="s">
        <v>37</v>
      </c>
      <c r="R76" t="s">
        <v>28</v>
      </c>
      <c r="S76">
        <v>3</v>
      </c>
    </row>
    <row r="77" spans="1:19">
      <c r="A77" t="s">
        <v>282</v>
      </c>
      <c r="B77" s="2">
        <v>46228</v>
      </c>
      <c r="C77" t="s">
        <v>283</v>
      </c>
      <c r="D77" t="s">
        <v>284</v>
      </c>
      <c r="E77" t="s">
        <v>32</v>
      </c>
      <c r="F77">
        <v>39</v>
      </c>
      <c r="G77" t="s">
        <v>55</v>
      </c>
      <c r="H77" t="s">
        <v>34</v>
      </c>
      <c r="I77" t="s">
        <v>43</v>
      </c>
      <c r="J77" t="s">
        <v>281</v>
      </c>
      <c r="K77">
        <v>4</v>
      </c>
      <c r="L77">
        <v>2999</v>
      </c>
      <c r="M77" s="3">
        <v>0.2</v>
      </c>
      <c r="N77">
        <v>9596.7999999999993</v>
      </c>
      <c r="O77">
        <v>7200</v>
      </c>
      <c r="P77">
        <v>2396.8000000000002</v>
      </c>
      <c r="Q77" t="s">
        <v>69</v>
      </c>
      <c r="R77" t="s">
        <v>28</v>
      </c>
      <c r="S77">
        <v>3</v>
      </c>
    </row>
    <row r="78" spans="1:19">
      <c r="A78" t="s">
        <v>285</v>
      </c>
      <c r="B78" s="2">
        <v>46005</v>
      </c>
      <c r="C78" t="s">
        <v>186</v>
      </c>
      <c r="D78" t="s">
        <v>187</v>
      </c>
      <c r="E78" t="s">
        <v>22</v>
      </c>
      <c r="F78">
        <v>42</v>
      </c>
      <c r="G78" t="s">
        <v>60</v>
      </c>
      <c r="H78" t="s">
        <v>61</v>
      </c>
      <c r="I78" t="s">
        <v>43</v>
      </c>
      <c r="J78" t="s">
        <v>95</v>
      </c>
      <c r="K78">
        <v>3</v>
      </c>
      <c r="L78">
        <v>2499</v>
      </c>
      <c r="M78" s="3">
        <v>0.1</v>
      </c>
      <c r="N78">
        <v>6747.3</v>
      </c>
      <c r="O78">
        <v>4500</v>
      </c>
      <c r="P78">
        <v>2247.3000000000002</v>
      </c>
      <c r="Q78" t="s">
        <v>37</v>
      </c>
      <c r="R78" t="s">
        <v>28</v>
      </c>
      <c r="S78">
        <v>2</v>
      </c>
    </row>
    <row r="79" spans="1:19">
      <c r="A79" t="s">
        <v>286</v>
      </c>
      <c r="B79" s="2">
        <v>45803</v>
      </c>
      <c r="C79" t="s">
        <v>287</v>
      </c>
      <c r="D79" t="s">
        <v>190</v>
      </c>
      <c r="E79" t="s">
        <v>32</v>
      </c>
      <c r="F79">
        <v>39</v>
      </c>
      <c r="G79" t="s">
        <v>81</v>
      </c>
      <c r="H79" t="s">
        <v>82</v>
      </c>
      <c r="I79" t="s">
        <v>117</v>
      </c>
      <c r="J79" t="s">
        <v>118</v>
      </c>
      <c r="K79">
        <v>4</v>
      </c>
      <c r="L79">
        <v>999</v>
      </c>
      <c r="M79" s="3">
        <v>0</v>
      </c>
      <c r="N79">
        <v>3996</v>
      </c>
      <c r="O79">
        <v>2200</v>
      </c>
      <c r="P79">
        <v>1796</v>
      </c>
      <c r="Q79" t="s">
        <v>69</v>
      </c>
      <c r="R79" t="s">
        <v>28</v>
      </c>
      <c r="S79">
        <v>5</v>
      </c>
    </row>
    <row r="80" spans="1:19">
      <c r="A80" t="s">
        <v>288</v>
      </c>
      <c r="B80" s="2">
        <v>46007</v>
      </c>
      <c r="C80" t="s">
        <v>289</v>
      </c>
      <c r="D80" t="s">
        <v>121</v>
      </c>
      <c r="E80" t="s">
        <v>22</v>
      </c>
      <c r="F80">
        <v>38</v>
      </c>
      <c r="G80" t="s">
        <v>73</v>
      </c>
      <c r="H80" t="s">
        <v>74</v>
      </c>
      <c r="I80" t="s">
        <v>163</v>
      </c>
      <c r="J80" t="s">
        <v>290</v>
      </c>
      <c r="K80">
        <v>4</v>
      </c>
      <c r="L80">
        <v>1999</v>
      </c>
      <c r="M80" s="3">
        <v>0.15</v>
      </c>
      <c r="N80">
        <v>6796.6</v>
      </c>
      <c r="O80">
        <v>4800</v>
      </c>
      <c r="P80">
        <v>1996.6</v>
      </c>
      <c r="Q80" t="s">
        <v>27</v>
      </c>
      <c r="R80" t="s">
        <v>28</v>
      </c>
      <c r="S80">
        <v>3</v>
      </c>
    </row>
    <row r="81" spans="1:19">
      <c r="A81" t="s">
        <v>291</v>
      </c>
      <c r="B81" s="2">
        <v>45817</v>
      </c>
      <c r="C81" t="s">
        <v>292</v>
      </c>
      <c r="D81" t="s">
        <v>293</v>
      </c>
      <c r="E81" t="s">
        <v>32</v>
      </c>
      <c r="F81">
        <v>29</v>
      </c>
      <c r="G81" t="s">
        <v>180</v>
      </c>
      <c r="H81" t="s">
        <v>181</v>
      </c>
      <c r="I81" t="s">
        <v>75</v>
      </c>
      <c r="J81" t="s">
        <v>106</v>
      </c>
      <c r="K81">
        <v>1</v>
      </c>
      <c r="L81">
        <v>899</v>
      </c>
      <c r="M81" s="3">
        <v>0</v>
      </c>
      <c r="N81">
        <v>899</v>
      </c>
      <c r="O81">
        <v>600</v>
      </c>
      <c r="P81">
        <v>299</v>
      </c>
      <c r="Q81" t="s">
        <v>27</v>
      </c>
      <c r="R81" t="s">
        <v>28</v>
      </c>
      <c r="S81">
        <v>1</v>
      </c>
    </row>
    <row r="82" spans="1:19">
      <c r="A82" t="s">
        <v>294</v>
      </c>
      <c r="B82" s="2">
        <v>46155</v>
      </c>
      <c r="C82" t="s">
        <v>295</v>
      </c>
      <c r="D82" t="s">
        <v>296</v>
      </c>
      <c r="E82" t="s">
        <v>22</v>
      </c>
      <c r="F82">
        <v>33</v>
      </c>
      <c r="G82" t="s">
        <v>41</v>
      </c>
      <c r="H82" t="s">
        <v>42</v>
      </c>
      <c r="I82" t="s">
        <v>43</v>
      </c>
      <c r="J82" t="s">
        <v>197</v>
      </c>
      <c r="K82">
        <v>4</v>
      </c>
      <c r="L82">
        <v>1799</v>
      </c>
      <c r="M82" s="3">
        <v>0.15</v>
      </c>
      <c r="N82">
        <v>6116.6</v>
      </c>
      <c r="O82">
        <v>4200</v>
      </c>
      <c r="P82">
        <v>1916.6</v>
      </c>
      <c r="Q82" t="s">
        <v>50</v>
      </c>
      <c r="R82" t="s">
        <v>28</v>
      </c>
      <c r="S82">
        <v>3</v>
      </c>
    </row>
    <row r="83" spans="1:19">
      <c r="A83" t="s">
        <v>297</v>
      </c>
      <c r="B83" s="2">
        <v>46098</v>
      </c>
      <c r="C83" t="s">
        <v>289</v>
      </c>
      <c r="D83" t="s">
        <v>121</v>
      </c>
      <c r="E83" t="s">
        <v>22</v>
      </c>
      <c r="F83">
        <v>38</v>
      </c>
      <c r="G83" t="s">
        <v>73</v>
      </c>
      <c r="H83" t="s">
        <v>74</v>
      </c>
      <c r="I83" t="s">
        <v>35</v>
      </c>
      <c r="J83" t="s">
        <v>108</v>
      </c>
      <c r="K83">
        <v>1</v>
      </c>
      <c r="L83">
        <v>699</v>
      </c>
      <c r="M83" s="3">
        <v>0.1</v>
      </c>
      <c r="N83">
        <v>629.1</v>
      </c>
      <c r="O83">
        <v>380</v>
      </c>
      <c r="P83">
        <v>249.1</v>
      </c>
      <c r="Q83" t="s">
        <v>69</v>
      </c>
      <c r="R83" t="s">
        <v>28</v>
      </c>
      <c r="S83">
        <v>5</v>
      </c>
    </row>
    <row r="84" spans="1:19">
      <c r="A84" t="s">
        <v>298</v>
      </c>
      <c r="B84" s="2">
        <v>45883</v>
      </c>
      <c r="C84" t="s">
        <v>178</v>
      </c>
      <c r="D84" t="s">
        <v>179</v>
      </c>
      <c r="E84" t="s">
        <v>32</v>
      </c>
      <c r="F84">
        <v>29</v>
      </c>
      <c r="G84" t="s">
        <v>180</v>
      </c>
      <c r="H84" t="s">
        <v>181</v>
      </c>
      <c r="I84" t="s">
        <v>35</v>
      </c>
      <c r="J84" t="s">
        <v>108</v>
      </c>
      <c r="K84">
        <v>3</v>
      </c>
      <c r="L84">
        <v>699</v>
      </c>
      <c r="M84" s="3">
        <v>0</v>
      </c>
      <c r="N84">
        <v>2097</v>
      </c>
      <c r="O84">
        <v>1140</v>
      </c>
      <c r="P84">
        <v>957</v>
      </c>
      <c r="Q84" t="s">
        <v>66</v>
      </c>
      <c r="R84" t="s">
        <v>51</v>
      </c>
      <c r="S84">
        <v>1</v>
      </c>
    </row>
    <row r="85" spans="1:19">
      <c r="A85" t="s">
        <v>299</v>
      </c>
      <c r="B85" s="2">
        <v>45798</v>
      </c>
      <c r="C85" t="s">
        <v>300</v>
      </c>
      <c r="D85" t="s">
        <v>301</v>
      </c>
      <c r="E85" t="s">
        <v>22</v>
      </c>
      <c r="F85">
        <v>24</v>
      </c>
      <c r="G85" t="s">
        <v>48</v>
      </c>
      <c r="H85" t="s">
        <v>42</v>
      </c>
      <c r="I85" t="s">
        <v>43</v>
      </c>
      <c r="J85" t="s">
        <v>49</v>
      </c>
      <c r="K85">
        <v>3</v>
      </c>
      <c r="L85">
        <v>799</v>
      </c>
      <c r="M85" s="3">
        <v>0.05</v>
      </c>
      <c r="N85">
        <v>2277.15</v>
      </c>
      <c r="O85">
        <v>1350</v>
      </c>
      <c r="P85">
        <v>927.15</v>
      </c>
      <c r="Q85" t="s">
        <v>37</v>
      </c>
      <c r="R85" t="s">
        <v>28</v>
      </c>
      <c r="S85">
        <v>1</v>
      </c>
    </row>
    <row r="86" spans="1:19">
      <c r="A86" t="s">
        <v>302</v>
      </c>
      <c r="B86" s="2">
        <v>45790</v>
      </c>
      <c r="C86" t="s">
        <v>300</v>
      </c>
      <c r="D86" t="s">
        <v>301</v>
      </c>
      <c r="E86" t="s">
        <v>22</v>
      </c>
      <c r="F86">
        <v>24</v>
      </c>
      <c r="G86" t="s">
        <v>48</v>
      </c>
      <c r="H86" t="s">
        <v>42</v>
      </c>
      <c r="I86" t="s">
        <v>35</v>
      </c>
      <c r="J86" t="s">
        <v>36</v>
      </c>
      <c r="K86">
        <v>4</v>
      </c>
      <c r="L86">
        <v>599</v>
      </c>
      <c r="M86" s="3">
        <v>0.05</v>
      </c>
      <c r="N86">
        <v>2276.1999999999998</v>
      </c>
      <c r="O86">
        <v>1280</v>
      </c>
      <c r="P86">
        <v>996.2</v>
      </c>
      <c r="Q86" t="s">
        <v>66</v>
      </c>
      <c r="R86" t="s">
        <v>28</v>
      </c>
      <c r="S86">
        <v>2</v>
      </c>
    </row>
    <row r="87" spans="1:19">
      <c r="A87" t="s">
        <v>303</v>
      </c>
      <c r="B87" s="2">
        <v>46064</v>
      </c>
      <c r="C87" t="s">
        <v>304</v>
      </c>
      <c r="D87" t="s">
        <v>305</v>
      </c>
      <c r="E87" t="s">
        <v>32</v>
      </c>
      <c r="F87">
        <v>32</v>
      </c>
      <c r="G87" t="s">
        <v>146</v>
      </c>
      <c r="H87" t="s">
        <v>61</v>
      </c>
      <c r="I87" t="s">
        <v>35</v>
      </c>
      <c r="J87" t="s">
        <v>126</v>
      </c>
      <c r="K87">
        <v>3</v>
      </c>
      <c r="L87">
        <v>1499</v>
      </c>
      <c r="M87" s="3">
        <v>0</v>
      </c>
      <c r="N87">
        <v>4497</v>
      </c>
      <c r="O87">
        <v>2550</v>
      </c>
      <c r="P87">
        <v>1947</v>
      </c>
      <c r="Q87" t="s">
        <v>69</v>
      </c>
      <c r="R87" t="s">
        <v>28</v>
      </c>
      <c r="S87">
        <v>4</v>
      </c>
    </row>
    <row r="88" spans="1:19">
      <c r="A88" t="s">
        <v>306</v>
      </c>
      <c r="B88" s="2">
        <v>46072</v>
      </c>
      <c r="C88" t="s">
        <v>91</v>
      </c>
      <c r="D88" t="s">
        <v>92</v>
      </c>
      <c r="E88" t="s">
        <v>32</v>
      </c>
      <c r="F88">
        <v>43</v>
      </c>
      <c r="G88" t="s">
        <v>93</v>
      </c>
      <c r="H88" t="s">
        <v>94</v>
      </c>
      <c r="I88" t="s">
        <v>163</v>
      </c>
      <c r="J88" t="s">
        <v>164</v>
      </c>
      <c r="K88">
        <v>4</v>
      </c>
      <c r="L88">
        <v>3499</v>
      </c>
      <c r="M88" s="3">
        <v>0.2</v>
      </c>
      <c r="N88">
        <v>11196.8</v>
      </c>
      <c r="O88">
        <v>8800</v>
      </c>
      <c r="P88">
        <v>2396.8000000000002</v>
      </c>
      <c r="Q88" t="s">
        <v>66</v>
      </c>
      <c r="R88" t="s">
        <v>28</v>
      </c>
      <c r="S88">
        <v>4</v>
      </c>
    </row>
    <row r="89" spans="1:19">
      <c r="A89" t="s">
        <v>307</v>
      </c>
      <c r="B89" s="2">
        <v>46129</v>
      </c>
      <c r="C89" t="s">
        <v>113</v>
      </c>
      <c r="D89" t="s">
        <v>114</v>
      </c>
      <c r="E89" t="s">
        <v>32</v>
      </c>
      <c r="F89">
        <v>18</v>
      </c>
      <c r="G89" t="s">
        <v>115</v>
      </c>
      <c r="H89" t="s">
        <v>116</v>
      </c>
      <c r="I89" t="s">
        <v>163</v>
      </c>
      <c r="J89" t="s">
        <v>164</v>
      </c>
      <c r="K89">
        <v>2</v>
      </c>
      <c r="L89">
        <v>3499</v>
      </c>
      <c r="M89" s="3">
        <v>0.2</v>
      </c>
      <c r="N89">
        <v>5598.4</v>
      </c>
      <c r="O89">
        <v>4400</v>
      </c>
      <c r="P89">
        <v>1198.4000000000001</v>
      </c>
      <c r="Q89" t="s">
        <v>37</v>
      </c>
      <c r="R89" t="s">
        <v>28</v>
      </c>
      <c r="S89">
        <v>1</v>
      </c>
    </row>
    <row r="90" spans="1:19">
      <c r="A90" t="s">
        <v>308</v>
      </c>
      <c r="B90" s="2">
        <v>45738</v>
      </c>
      <c r="C90" t="s">
        <v>189</v>
      </c>
      <c r="D90" t="s">
        <v>190</v>
      </c>
      <c r="E90" t="s">
        <v>32</v>
      </c>
      <c r="F90">
        <v>22</v>
      </c>
      <c r="G90" t="s">
        <v>115</v>
      </c>
      <c r="H90" t="s">
        <v>116</v>
      </c>
      <c r="I90" t="s">
        <v>163</v>
      </c>
      <c r="J90" t="s">
        <v>234</v>
      </c>
      <c r="K90">
        <v>4</v>
      </c>
      <c r="L90">
        <v>999</v>
      </c>
      <c r="M90" s="3">
        <v>0.2</v>
      </c>
      <c r="N90">
        <v>3196.8</v>
      </c>
      <c r="O90">
        <v>2400</v>
      </c>
      <c r="P90">
        <v>796.8</v>
      </c>
      <c r="Q90" t="s">
        <v>66</v>
      </c>
      <c r="R90" t="s">
        <v>137</v>
      </c>
      <c r="S90">
        <v>3</v>
      </c>
    </row>
    <row r="91" spans="1:19">
      <c r="A91" t="s">
        <v>309</v>
      </c>
      <c r="B91" s="2">
        <v>46180</v>
      </c>
      <c r="C91" t="s">
        <v>310</v>
      </c>
      <c r="D91" t="s">
        <v>311</v>
      </c>
      <c r="E91" t="s">
        <v>32</v>
      </c>
      <c r="F91">
        <v>50</v>
      </c>
      <c r="G91" t="s">
        <v>81</v>
      </c>
      <c r="H91" t="s">
        <v>82</v>
      </c>
      <c r="I91" t="s">
        <v>163</v>
      </c>
      <c r="J91" t="s">
        <v>164</v>
      </c>
      <c r="K91">
        <v>2</v>
      </c>
      <c r="L91">
        <v>3499</v>
      </c>
      <c r="M91" s="3">
        <v>0</v>
      </c>
      <c r="N91">
        <v>6998</v>
      </c>
      <c r="O91">
        <v>4400</v>
      </c>
      <c r="P91">
        <v>2598</v>
      </c>
      <c r="Q91" t="s">
        <v>69</v>
      </c>
      <c r="R91" t="s">
        <v>28</v>
      </c>
      <c r="S91">
        <v>2</v>
      </c>
    </row>
    <row r="92" spans="1:19">
      <c r="A92" t="s">
        <v>312</v>
      </c>
      <c r="B92" s="2">
        <v>45763</v>
      </c>
      <c r="C92" t="s">
        <v>313</v>
      </c>
      <c r="D92" t="s">
        <v>72</v>
      </c>
      <c r="E92" t="s">
        <v>22</v>
      </c>
      <c r="F92">
        <v>45</v>
      </c>
      <c r="G92" t="s">
        <v>41</v>
      </c>
      <c r="H92" t="s">
        <v>42</v>
      </c>
      <c r="I92" t="s">
        <v>163</v>
      </c>
      <c r="J92" t="s">
        <v>214</v>
      </c>
      <c r="K92">
        <v>2</v>
      </c>
      <c r="L92">
        <v>1499</v>
      </c>
      <c r="M92" s="3">
        <v>0.05</v>
      </c>
      <c r="N92">
        <v>2848.1</v>
      </c>
      <c r="O92">
        <v>1800</v>
      </c>
      <c r="P92">
        <v>1048.0999999999999</v>
      </c>
      <c r="Q92" t="s">
        <v>27</v>
      </c>
      <c r="R92" t="s">
        <v>28</v>
      </c>
      <c r="S92">
        <v>2</v>
      </c>
    </row>
    <row r="93" spans="1:19">
      <c r="A93" t="s">
        <v>314</v>
      </c>
      <c r="B93" s="2">
        <v>46163</v>
      </c>
      <c r="C93" t="s">
        <v>315</v>
      </c>
      <c r="D93" t="s">
        <v>305</v>
      </c>
      <c r="E93" t="s">
        <v>22</v>
      </c>
      <c r="F93">
        <v>18</v>
      </c>
      <c r="G93" t="s">
        <v>48</v>
      </c>
      <c r="H93" t="s">
        <v>42</v>
      </c>
      <c r="I93" t="s">
        <v>75</v>
      </c>
      <c r="J93" t="s">
        <v>76</v>
      </c>
      <c r="K93">
        <v>1</v>
      </c>
      <c r="L93">
        <v>399</v>
      </c>
      <c r="M93" s="3">
        <v>0.05</v>
      </c>
      <c r="N93">
        <v>379.05</v>
      </c>
      <c r="O93">
        <v>220</v>
      </c>
      <c r="P93">
        <v>159.05000000000001</v>
      </c>
      <c r="Q93" t="s">
        <v>66</v>
      </c>
      <c r="R93" t="s">
        <v>28</v>
      </c>
      <c r="S93">
        <v>5</v>
      </c>
    </row>
    <row r="94" spans="1:19">
      <c r="A94" t="s">
        <v>316</v>
      </c>
      <c r="B94" s="2">
        <v>45812</v>
      </c>
      <c r="C94" t="s">
        <v>317</v>
      </c>
      <c r="D94" t="s">
        <v>318</v>
      </c>
      <c r="E94" t="s">
        <v>22</v>
      </c>
      <c r="F94">
        <v>31</v>
      </c>
      <c r="G94" t="s">
        <v>33</v>
      </c>
      <c r="H94" t="s">
        <v>34</v>
      </c>
      <c r="I94" t="s">
        <v>117</v>
      </c>
      <c r="J94" t="s">
        <v>118</v>
      </c>
      <c r="K94">
        <v>3</v>
      </c>
      <c r="L94">
        <v>999</v>
      </c>
      <c r="M94" s="3">
        <v>0.1</v>
      </c>
      <c r="N94">
        <v>2697.3</v>
      </c>
      <c r="O94">
        <v>1650</v>
      </c>
      <c r="P94">
        <v>1047.3</v>
      </c>
      <c r="Q94" t="s">
        <v>66</v>
      </c>
      <c r="R94" t="s">
        <v>28</v>
      </c>
      <c r="S94">
        <v>4</v>
      </c>
    </row>
    <row r="95" spans="1:19">
      <c r="A95" t="s">
        <v>319</v>
      </c>
      <c r="B95" s="2">
        <v>46177</v>
      </c>
      <c r="C95" t="s">
        <v>227</v>
      </c>
      <c r="D95" t="s">
        <v>228</v>
      </c>
      <c r="E95" t="s">
        <v>22</v>
      </c>
      <c r="F95">
        <v>24</v>
      </c>
      <c r="G95" t="s">
        <v>93</v>
      </c>
      <c r="H95" t="s">
        <v>94</v>
      </c>
      <c r="I95" t="s">
        <v>43</v>
      </c>
      <c r="J95" t="s">
        <v>197</v>
      </c>
      <c r="K95">
        <v>1</v>
      </c>
      <c r="L95">
        <v>1799</v>
      </c>
      <c r="M95" s="3">
        <v>0.1</v>
      </c>
      <c r="N95">
        <v>1619.1</v>
      </c>
      <c r="O95">
        <v>1050</v>
      </c>
      <c r="P95">
        <v>569.1</v>
      </c>
      <c r="Q95" t="s">
        <v>69</v>
      </c>
      <c r="R95" t="s">
        <v>28</v>
      </c>
      <c r="S95">
        <v>4</v>
      </c>
    </row>
    <row r="96" spans="1:19">
      <c r="A96" t="s">
        <v>320</v>
      </c>
      <c r="B96" s="2">
        <v>45736</v>
      </c>
      <c r="C96" t="s">
        <v>321</v>
      </c>
      <c r="D96" t="s">
        <v>322</v>
      </c>
      <c r="E96" t="s">
        <v>22</v>
      </c>
      <c r="F96">
        <v>42</v>
      </c>
      <c r="G96" t="s">
        <v>23</v>
      </c>
      <c r="H96" t="s">
        <v>24</v>
      </c>
      <c r="I96" t="s">
        <v>25</v>
      </c>
      <c r="J96" t="s">
        <v>68</v>
      </c>
      <c r="K96">
        <v>3</v>
      </c>
      <c r="L96">
        <v>2999</v>
      </c>
      <c r="M96" s="3">
        <v>0.1</v>
      </c>
      <c r="N96">
        <v>8097.3</v>
      </c>
      <c r="O96">
        <v>5700</v>
      </c>
      <c r="P96">
        <v>2397.3000000000002</v>
      </c>
      <c r="Q96" t="s">
        <v>69</v>
      </c>
      <c r="R96" t="s">
        <v>28</v>
      </c>
      <c r="S96">
        <v>5</v>
      </c>
    </row>
    <row r="97" spans="1:19">
      <c r="A97" t="s">
        <v>323</v>
      </c>
      <c r="B97" s="2">
        <v>46243</v>
      </c>
      <c r="C97" t="s">
        <v>202</v>
      </c>
      <c r="D97" t="s">
        <v>89</v>
      </c>
      <c r="E97" t="s">
        <v>22</v>
      </c>
      <c r="F97">
        <v>50</v>
      </c>
      <c r="G97" t="s">
        <v>93</v>
      </c>
      <c r="H97" t="s">
        <v>94</v>
      </c>
      <c r="I97" t="s">
        <v>35</v>
      </c>
      <c r="J97" t="s">
        <v>136</v>
      </c>
      <c r="K97">
        <v>1</v>
      </c>
      <c r="L97">
        <v>799</v>
      </c>
      <c r="M97" s="3">
        <v>0.15</v>
      </c>
      <c r="N97">
        <v>679.15</v>
      </c>
      <c r="O97">
        <v>450</v>
      </c>
      <c r="P97">
        <v>229.15</v>
      </c>
      <c r="Q97" t="s">
        <v>27</v>
      </c>
      <c r="R97" t="s">
        <v>28</v>
      </c>
      <c r="S97">
        <v>4</v>
      </c>
    </row>
    <row r="98" spans="1:19">
      <c r="A98" t="s">
        <v>324</v>
      </c>
      <c r="B98" s="2">
        <v>45763</v>
      </c>
      <c r="C98" t="s">
        <v>304</v>
      </c>
      <c r="D98" t="s">
        <v>305</v>
      </c>
      <c r="E98" t="s">
        <v>32</v>
      </c>
      <c r="F98">
        <v>32</v>
      </c>
      <c r="G98" t="s">
        <v>146</v>
      </c>
      <c r="H98" t="s">
        <v>61</v>
      </c>
      <c r="I98" t="s">
        <v>25</v>
      </c>
      <c r="J98" t="s">
        <v>62</v>
      </c>
      <c r="K98">
        <v>1</v>
      </c>
      <c r="L98">
        <v>1299</v>
      </c>
      <c r="M98" s="3">
        <v>0.15</v>
      </c>
      <c r="N98">
        <v>1104.1500000000001</v>
      </c>
      <c r="O98">
        <v>800</v>
      </c>
      <c r="P98">
        <v>304.14999999999998</v>
      </c>
      <c r="Q98" t="s">
        <v>37</v>
      </c>
      <c r="R98" t="s">
        <v>51</v>
      </c>
      <c r="S98">
        <v>1</v>
      </c>
    </row>
    <row r="99" spans="1:19">
      <c r="A99" t="s">
        <v>325</v>
      </c>
      <c r="B99" s="2">
        <v>45911</v>
      </c>
      <c r="C99" t="s">
        <v>326</v>
      </c>
      <c r="D99" t="s">
        <v>327</v>
      </c>
      <c r="E99" t="s">
        <v>22</v>
      </c>
      <c r="F99">
        <v>33</v>
      </c>
      <c r="G99" t="s">
        <v>141</v>
      </c>
      <c r="H99" t="s">
        <v>142</v>
      </c>
      <c r="I99" t="s">
        <v>75</v>
      </c>
      <c r="J99" t="s">
        <v>76</v>
      </c>
      <c r="K99">
        <v>2</v>
      </c>
      <c r="L99">
        <v>399</v>
      </c>
      <c r="M99" s="3">
        <v>0</v>
      </c>
      <c r="N99">
        <v>798</v>
      </c>
      <c r="O99">
        <v>440</v>
      </c>
      <c r="P99">
        <v>358</v>
      </c>
      <c r="Q99" t="s">
        <v>66</v>
      </c>
      <c r="R99" t="s">
        <v>51</v>
      </c>
      <c r="S99">
        <v>5</v>
      </c>
    </row>
    <row r="100" spans="1:19">
      <c r="A100" t="s">
        <v>328</v>
      </c>
      <c r="B100" s="2">
        <v>46039</v>
      </c>
      <c r="C100" t="s">
        <v>329</v>
      </c>
      <c r="D100" t="s">
        <v>330</v>
      </c>
      <c r="E100" t="s">
        <v>22</v>
      </c>
      <c r="F100">
        <v>28</v>
      </c>
      <c r="G100" t="s">
        <v>81</v>
      </c>
      <c r="H100" t="s">
        <v>82</v>
      </c>
      <c r="I100" t="s">
        <v>75</v>
      </c>
      <c r="J100" t="s">
        <v>106</v>
      </c>
      <c r="K100">
        <v>2</v>
      </c>
      <c r="L100">
        <v>899</v>
      </c>
      <c r="M100" s="3">
        <v>0.1</v>
      </c>
      <c r="N100">
        <v>1618.2</v>
      </c>
      <c r="O100">
        <v>1200</v>
      </c>
      <c r="P100">
        <v>418.2</v>
      </c>
      <c r="Q100" t="s">
        <v>37</v>
      </c>
      <c r="R100" t="s">
        <v>28</v>
      </c>
      <c r="S100">
        <v>3</v>
      </c>
    </row>
    <row r="101" spans="1:19">
      <c r="A101" t="s">
        <v>331</v>
      </c>
      <c r="B101" s="2">
        <v>45995</v>
      </c>
      <c r="C101" t="s">
        <v>332</v>
      </c>
      <c r="D101" t="s">
        <v>333</v>
      </c>
      <c r="E101" t="s">
        <v>32</v>
      </c>
      <c r="F101">
        <v>28</v>
      </c>
      <c r="G101" t="s">
        <v>93</v>
      </c>
      <c r="H101" t="s">
        <v>94</v>
      </c>
      <c r="I101" t="s">
        <v>75</v>
      </c>
      <c r="J101" t="s">
        <v>76</v>
      </c>
      <c r="K101">
        <v>3</v>
      </c>
      <c r="L101">
        <v>399</v>
      </c>
      <c r="M101" s="3">
        <v>0</v>
      </c>
      <c r="N101">
        <v>1197</v>
      </c>
      <c r="O101">
        <v>660</v>
      </c>
      <c r="P101">
        <v>537</v>
      </c>
      <c r="Q101" t="s">
        <v>69</v>
      </c>
      <c r="R101" t="s">
        <v>28</v>
      </c>
      <c r="S101">
        <v>4</v>
      </c>
    </row>
    <row r="102" spans="1:19">
      <c r="A102" t="s">
        <v>334</v>
      </c>
      <c r="B102" s="2">
        <v>45741</v>
      </c>
      <c r="C102" t="s">
        <v>53</v>
      </c>
      <c r="D102" t="s">
        <v>54</v>
      </c>
      <c r="E102" t="s">
        <v>22</v>
      </c>
      <c r="F102">
        <v>34</v>
      </c>
      <c r="G102" t="s">
        <v>55</v>
      </c>
      <c r="H102" t="s">
        <v>34</v>
      </c>
      <c r="I102" t="s">
        <v>43</v>
      </c>
      <c r="J102" t="s">
        <v>197</v>
      </c>
      <c r="K102">
        <v>2</v>
      </c>
      <c r="L102">
        <v>1799</v>
      </c>
      <c r="M102" s="3">
        <v>0.1</v>
      </c>
      <c r="N102">
        <v>3238.2</v>
      </c>
      <c r="O102">
        <v>2100</v>
      </c>
      <c r="P102">
        <v>1138.2</v>
      </c>
      <c r="Q102" t="s">
        <v>50</v>
      </c>
      <c r="R102" t="s">
        <v>28</v>
      </c>
      <c r="S102">
        <v>3</v>
      </c>
    </row>
    <row r="103" spans="1:19">
      <c r="A103" t="s">
        <v>335</v>
      </c>
      <c r="B103" s="2">
        <v>45744</v>
      </c>
      <c r="C103" t="s">
        <v>139</v>
      </c>
      <c r="D103" t="s">
        <v>140</v>
      </c>
      <c r="E103" t="s">
        <v>22</v>
      </c>
      <c r="F103">
        <v>44</v>
      </c>
      <c r="G103" t="s">
        <v>141</v>
      </c>
      <c r="H103" t="s">
        <v>142</v>
      </c>
      <c r="I103" t="s">
        <v>75</v>
      </c>
      <c r="J103" t="s">
        <v>76</v>
      </c>
      <c r="K103">
        <v>4</v>
      </c>
      <c r="L103">
        <v>399</v>
      </c>
      <c r="M103" s="3">
        <v>0.05</v>
      </c>
      <c r="N103">
        <v>1516.2</v>
      </c>
      <c r="O103">
        <v>880</v>
      </c>
      <c r="P103">
        <v>636.20000000000005</v>
      </c>
      <c r="Q103" t="s">
        <v>37</v>
      </c>
      <c r="R103" t="s">
        <v>28</v>
      </c>
      <c r="S103">
        <v>3</v>
      </c>
    </row>
    <row r="104" spans="1:19">
      <c r="A104" t="s">
        <v>336</v>
      </c>
      <c r="B104" s="2">
        <v>46178</v>
      </c>
      <c r="C104" t="s">
        <v>169</v>
      </c>
      <c r="D104" t="s">
        <v>170</v>
      </c>
      <c r="E104" t="s">
        <v>32</v>
      </c>
      <c r="F104">
        <v>37</v>
      </c>
      <c r="G104" t="s">
        <v>60</v>
      </c>
      <c r="H104" t="s">
        <v>61</v>
      </c>
      <c r="I104" t="s">
        <v>117</v>
      </c>
      <c r="J104" t="s">
        <v>118</v>
      </c>
      <c r="K104">
        <v>1</v>
      </c>
      <c r="L104">
        <v>999</v>
      </c>
      <c r="M104" s="3">
        <v>0.15</v>
      </c>
      <c r="N104">
        <v>849.15</v>
      </c>
      <c r="O104">
        <v>550</v>
      </c>
      <c r="P104">
        <v>299.14999999999998</v>
      </c>
      <c r="Q104" t="s">
        <v>37</v>
      </c>
      <c r="R104" t="s">
        <v>28</v>
      </c>
      <c r="S104">
        <v>3</v>
      </c>
    </row>
    <row r="105" spans="1:19">
      <c r="A105" t="s">
        <v>337</v>
      </c>
      <c r="B105" s="2">
        <v>45854</v>
      </c>
      <c r="C105" t="s">
        <v>338</v>
      </c>
      <c r="D105" t="s">
        <v>339</v>
      </c>
      <c r="E105" t="s">
        <v>32</v>
      </c>
      <c r="F105">
        <v>24</v>
      </c>
      <c r="G105" t="s">
        <v>73</v>
      </c>
      <c r="H105" t="s">
        <v>74</v>
      </c>
      <c r="I105" t="s">
        <v>43</v>
      </c>
      <c r="J105" t="s">
        <v>49</v>
      </c>
      <c r="K105">
        <v>3</v>
      </c>
      <c r="L105">
        <v>799</v>
      </c>
      <c r="M105" s="3">
        <v>0.15</v>
      </c>
      <c r="N105">
        <v>2037.45</v>
      </c>
      <c r="O105">
        <v>1350</v>
      </c>
      <c r="P105">
        <v>687.45</v>
      </c>
      <c r="Q105" t="s">
        <v>27</v>
      </c>
      <c r="R105" t="s">
        <v>51</v>
      </c>
      <c r="S105">
        <v>2</v>
      </c>
    </row>
    <row r="106" spans="1:19">
      <c r="A106" t="s">
        <v>340</v>
      </c>
      <c r="B106" s="2">
        <v>46210</v>
      </c>
      <c r="C106" t="s">
        <v>91</v>
      </c>
      <c r="D106" t="s">
        <v>92</v>
      </c>
      <c r="E106" t="s">
        <v>32</v>
      </c>
      <c r="F106">
        <v>43</v>
      </c>
      <c r="G106" t="s">
        <v>93</v>
      </c>
      <c r="H106" t="s">
        <v>94</v>
      </c>
      <c r="I106" t="s">
        <v>43</v>
      </c>
      <c r="J106" t="s">
        <v>44</v>
      </c>
      <c r="K106">
        <v>1</v>
      </c>
      <c r="L106">
        <v>1599</v>
      </c>
      <c r="M106" s="3">
        <v>0.2</v>
      </c>
      <c r="N106">
        <v>1279.2</v>
      </c>
      <c r="O106">
        <v>950</v>
      </c>
      <c r="P106">
        <v>329.2</v>
      </c>
      <c r="Q106" t="s">
        <v>50</v>
      </c>
      <c r="R106" t="s">
        <v>28</v>
      </c>
      <c r="S106">
        <v>3</v>
      </c>
    </row>
    <row r="107" spans="1:19">
      <c r="A107" t="s">
        <v>341</v>
      </c>
      <c r="B107" s="2">
        <v>45824</v>
      </c>
      <c r="C107" t="s">
        <v>342</v>
      </c>
      <c r="D107" t="s">
        <v>343</v>
      </c>
      <c r="E107" t="s">
        <v>22</v>
      </c>
      <c r="F107">
        <v>23</v>
      </c>
      <c r="G107" t="s">
        <v>48</v>
      </c>
      <c r="H107" t="s">
        <v>42</v>
      </c>
      <c r="I107" t="s">
        <v>75</v>
      </c>
      <c r="J107" t="s">
        <v>106</v>
      </c>
      <c r="K107">
        <v>4</v>
      </c>
      <c r="L107">
        <v>899</v>
      </c>
      <c r="M107" s="3">
        <v>0.05</v>
      </c>
      <c r="N107">
        <v>3416.2</v>
      </c>
      <c r="O107">
        <v>2400</v>
      </c>
      <c r="P107">
        <v>1016.2</v>
      </c>
      <c r="Q107" t="s">
        <v>27</v>
      </c>
      <c r="R107" t="s">
        <v>137</v>
      </c>
      <c r="S107">
        <v>2</v>
      </c>
    </row>
    <row r="108" spans="1:19">
      <c r="A108" t="s">
        <v>344</v>
      </c>
      <c r="B108" s="2">
        <v>45901</v>
      </c>
      <c r="C108" t="s">
        <v>345</v>
      </c>
      <c r="D108" t="s">
        <v>346</v>
      </c>
      <c r="E108" t="s">
        <v>32</v>
      </c>
      <c r="F108">
        <v>33</v>
      </c>
      <c r="G108" t="s">
        <v>73</v>
      </c>
      <c r="H108" t="s">
        <v>74</v>
      </c>
      <c r="I108" t="s">
        <v>25</v>
      </c>
      <c r="J108" t="s">
        <v>68</v>
      </c>
      <c r="K108">
        <v>4</v>
      </c>
      <c r="L108">
        <v>2999</v>
      </c>
      <c r="M108" s="3">
        <v>0.1</v>
      </c>
      <c r="N108">
        <v>10796.4</v>
      </c>
      <c r="O108">
        <v>7600</v>
      </c>
      <c r="P108">
        <v>3196.4</v>
      </c>
      <c r="Q108" t="s">
        <v>66</v>
      </c>
      <c r="R108" t="s">
        <v>28</v>
      </c>
      <c r="S108">
        <v>4</v>
      </c>
    </row>
    <row r="109" spans="1:19">
      <c r="A109" t="s">
        <v>347</v>
      </c>
      <c r="B109" s="2">
        <v>46138</v>
      </c>
      <c r="C109" t="s">
        <v>97</v>
      </c>
      <c r="D109" t="s">
        <v>98</v>
      </c>
      <c r="E109" t="s">
        <v>22</v>
      </c>
      <c r="F109">
        <v>23</v>
      </c>
      <c r="G109" t="s">
        <v>48</v>
      </c>
      <c r="H109" t="s">
        <v>42</v>
      </c>
      <c r="I109" t="s">
        <v>35</v>
      </c>
      <c r="J109" t="s">
        <v>126</v>
      </c>
      <c r="K109">
        <v>2</v>
      </c>
      <c r="L109">
        <v>1499</v>
      </c>
      <c r="M109" s="3">
        <v>0.1</v>
      </c>
      <c r="N109">
        <v>2698.2</v>
      </c>
      <c r="O109">
        <v>1700</v>
      </c>
      <c r="P109">
        <v>998.2</v>
      </c>
      <c r="Q109" t="s">
        <v>27</v>
      </c>
      <c r="R109" t="s">
        <v>28</v>
      </c>
      <c r="S109">
        <v>5</v>
      </c>
    </row>
    <row r="110" spans="1:19">
      <c r="A110" t="s">
        <v>348</v>
      </c>
      <c r="B110" s="2">
        <v>46172</v>
      </c>
      <c r="C110" t="s">
        <v>345</v>
      </c>
      <c r="D110" t="s">
        <v>346</v>
      </c>
      <c r="E110" t="s">
        <v>32</v>
      </c>
      <c r="F110">
        <v>33</v>
      </c>
      <c r="G110" t="s">
        <v>73</v>
      </c>
      <c r="H110" t="s">
        <v>74</v>
      </c>
      <c r="I110" t="s">
        <v>35</v>
      </c>
      <c r="J110" t="s">
        <v>136</v>
      </c>
      <c r="K110">
        <v>3</v>
      </c>
      <c r="L110">
        <v>799</v>
      </c>
      <c r="M110" s="3">
        <v>0.15</v>
      </c>
      <c r="N110">
        <v>2037.45</v>
      </c>
      <c r="O110">
        <v>1350</v>
      </c>
      <c r="P110">
        <v>687.45</v>
      </c>
      <c r="Q110" t="s">
        <v>50</v>
      </c>
      <c r="R110" t="s">
        <v>28</v>
      </c>
      <c r="S110">
        <v>2</v>
      </c>
    </row>
    <row r="111" spans="1:19">
      <c r="A111" t="s">
        <v>349</v>
      </c>
      <c r="B111" s="2">
        <v>45711</v>
      </c>
      <c r="C111" t="s">
        <v>216</v>
      </c>
      <c r="D111" t="s">
        <v>217</v>
      </c>
      <c r="E111" t="s">
        <v>22</v>
      </c>
      <c r="F111">
        <v>43</v>
      </c>
      <c r="G111" t="s">
        <v>115</v>
      </c>
      <c r="H111" t="s">
        <v>116</v>
      </c>
      <c r="I111" t="s">
        <v>75</v>
      </c>
      <c r="J111" t="s">
        <v>106</v>
      </c>
      <c r="K111">
        <v>2</v>
      </c>
      <c r="L111">
        <v>899</v>
      </c>
      <c r="M111" s="3">
        <v>0.1</v>
      </c>
      <c r="N111">
        <v>1618.2</v>
      </c>
      <c r="O111">
        <v>1200</v>
      </c>
      <c r="P111">
        <v>418.2</v>
      </c>
      <c r="Q111" t="s">
        <v>66</v>
      </c>
      <c r="R111" t="s">
        <v>137</v>
      </c>
      <c r="S111">
        <v>1</v>
      </c>
    </row>
    <row r="112" spans="1:19">
      <c r="A112" t="s">
        <v>350</v>
      </c>
      <c r="B112" s="2">
        <v>45822</v>
      </c>
      <c r="C112" t="s">
        <v>351</v>
      </c>
      <c r="D112" t="s">
        <v>352</v>
      </c>
      <c r="E112" t="s">
        <v>32</v>
      </c>
      <c r="F112">
        <v>41</v>
      </c>
      <c r="G112" t="s">
        <v>73</v>
      </c>
      <c r="H112" t="s">
        <v>74</v>
      </c>
      <c r="I112" t="s">
        <v>25</v>
      </c>
      <c r="J112" t="s">
        <v>56</v>
      </c>
      <c r="K112">
        <v>3</v>
      </c>
      <c r="L112">
        <v>899</v>
      </c>
      <c r="M112" s="3">
        <v>0</v>
      </c>
      <c r="N112">
        <v>2697</v>
      </c>
      <c r="O112">
        <v>1650</v>
      </c>
      <c r="P112">
        <v>1047</v>
      </c>
      <c r="Q112" t="s">
        <v>37</v>
      </c>
      <c r="R112" t="s">
        <v>28</v>
      </c>
      <c r="S112">
        <v>5</v>
      </c>
    </row>
    <row r="113" spans="1:19">
      <c r="A113" t="s">
        <v>353</v>
      </c>
      <c r="B113" s="2">
        <v>46119</v>
      </c>
      <c r="C113" t="s">
        <v>354</v>
      </c>
      <c r="D113" t="s">
        <v>339</v>
      </c>
      <c r="E113" t="s">
        <v>32</v>
      </c>
      <c r="F113">
        <v>25</v>
      </c>
      <c r="G113" t="s">
        <v>115</v>
      </c>
      <c r="H113" t="s">
        <v>116</v>
      </c>
      <c r="I113" t="s">
        <v>163</v>
      </c>
      <c r="J113" t="s">
        <v>234</v>
      </c>
      <c r="K113">
        <v>1</v>
      </c>
      <c r="L113">
        <v>999</v>
      </c>
      <c r="M113" s="3">
        <v>0.05</v>
      </c>
      <c r="N113">
        <v>949.05</v>
      </c>
      <c r="O113">
        <v>600</v>
      </c>
      <c r="P113">
        <v>349.05</v>
      </c>
      <c r="Q113" t="s">
        <v>37</v>
      </c>
      <c r="R113" t="s">
        <v>77</v>
      </c>
      <c r="S113">
        <v>4</v>
      </c>
    </row>
    <row r="114" spans="1:19">
      <c r="A114" t="s">
        <v>355</v>
      </c>
      <c r="B114" s="2">
        <v>46053</v>
      </c>
      <c r="C114" t="s">
        <v>332</v>
      </c>
      <c r="D114" t="s">
        <v>333</v>
      </c>
      <c r="E114" t="s">
        <v>32</v>
      </c>
      <c r="F114">
        <v>28</v>
      </c>
      <c r="G114" t="s">
        <v>93</v>
      </c>
      <c r="H114" t="s">
        <v>94</v>
      </c>
      <c r="I114" t="s">
        <v>163</v>
      </c>
      <c r="J114" t="s">
        <v>290</v>
      </c>
      <c r="K114">
        <v>3</v>
      </c>
      <c r="L114">
        <v>1999</v>
      </c>
      <c r="M114" s="3">
        <v>0.05</v>
      </c>
      <c r="N114">
        <v>5697.15</v>
      </c>
      <c r="O114">
        <v>3600</v>
      </c>
      <c r="P114">
        <v>2097.15</v>
      </c>
      <c r="Q114" t="s">
        <v>69</v>
      </c>
      <c r="R114" t="s">
        <v>28</v>
      </c>
      <c r="S114">
        <v>1</v>
      </c>
    </row>
    <row r="115" spans="1:19">
      <c r="A115" t="s">
        <v>356</v>
      </c>
      <c r="B115" s="2">
        <v>45798</v>
      </c>
      <c r="C115" t="s">
        <v>357</v>
      </c>
      <c r="D115" t="s">
        <v>237</v>
      </c>
      <c r="E115" t="s">
        <v>22</v>
      </c>
      <c r="F115">
        <v>42</v>
      </c>
      <c r="G115" t="s">
        <v>251</v>
      </c>
      <c r="H115" t="s">
        <v>251</v>
      </c>
      <c r="I115" t="s">
        <v>25</v>
      </c>
      <c r="J115" t="s">
        <v>56</v>
      </c>
      <c r="K115">
        <v>3</v>
      </c>
      <c r="L115">
        <v>899</v>
      </c>
      <c r="M115" s="3">
        <v>0.05</v>
      </c>
      <c r="N115">
        <v>2562.15</v>
      </c>
      <c r="O115">
        <v>1650</v>
      </c>
      <c r="P115">
        <v>912.15</v>
      </c>
      <c r="Q115" t="s">
        <v>69</v>
      </c>
      <c r="R115" t="s">
        <v>28</v>
      </c>
      <c r="S115">
        <v>4</v>
      </c>
    </row>
    <row r="116" spans="1:19">
      <c r="A116" t="s">
        <v>358</v>
      </c>
      <c r="B116" s="2">
        <v>45663</v>
      </c>
      <c r="C116" t="s">
        <v>359</v>
      </c>
      <c r="D116" t="s">
        <v>360</v>
      </c>
      <c r="E116" t="s">
        <v>32</v>
      </c>
      <c r="F116">
        <v>51</v>
      </c>
      <c r="G116" t="s">
        <v>251</v>
      </c>
      <c r="H116" t="s">
        <v>251</v>
      </c>
      <c r="I116" t="s">
        <v>117</v>
      </c>
      <c r="J116" t="s">
        <v>238</v>
      </c>
      <c r="K116">
        <v>4</v>
      </c>
      <c r="L116">
        <v>2499</v>
      </c>
      <c r="M116" s="3">
        <v>0.15</v>
      </c>
      <c r="N116">
        <v>8496.6</v>
      </c>
      <c r="O116">
        <v>6000</v>
      </c>
      <c r="P116">
        <v>2496.6</v>
      </c>
      <c r="Q116" t="s">
        <v>69</v>
      </c>
      <c r="R116" t="s">
        <v>28</v>
      </c>
      <c r="S116">
        <v>2</v>
      </c>
    </row>
    <row r="117" spans="1:19">
      <c r="A117" t="s">
        <v>361</v>
      </c>
      <c r="B117" s="2">
        <v>45953</v>
      </c>
      <c r="C117" t="s">
        <v>158</v>
      </c>
      <c r="D117" t="s">
        <v>159</v>
      </c>
      <c r="E117" t="s">
        <v>32</v>
      </c>
      <c r="F117">
        <v>19</v>
      </c>
      <c r="G117" t="s">
        <v>60</v>
      </c>
      <c r="H117" t="s">
        <v>61</v>
      </c>
      <c r="I117" t="s">
        <v>35</v>
      </c>
      <c r="J117" t="s">
        <v>126</v>
      </c>
      <c r="K117">
        <v>4</v>
      </c>
      <c r="L117">
        <v>1499</v>
      </c>
      <c r="M117" s="3">
        <v>0</v>
      </c>
      <c r="N117">
        <v>5996</v>
      </c>
      <c r="O117">
        <v>3400</v>
      </c>
      <c r="P117">
        <v>2596</v>
      </c>
      <c r="Q117" t="s">
        <v>27</v>
      </c>
      <c r="R117" t="s">
        <v>28</v>
      </c>
      <c r="S117">
        <v>1</v>
      </c>
    </row>
    <row r="118" spans="1:19">
      <c r="A118" t="s">
        <v>362</v>
      </c>
      <c r="B118" s="2">
        <v>45771</v>
      </c>
      <c r="C118" t="s">
        <v>363</v>
      </c>
      <c r="D118" t="s">
        <v>155</v>
      </c>
      <c r="E118" t="s">
        <v>32</v>
      </c>
      <c r="F118">
        <v>43</v>
      </c>
      <c r="G118" t="s">
        <v>48</v>
      </c>
      <c r="H118" t="s">
        <v>42</v>
      </c>
      <c r="I118" t="s">
        <v>163</v>
      </c>
      <c r="J118" t="s">
        <v>234</v>
      </c>
      <c r="K118">
        <v>4</v>
      </c>
      <c r="L118">
        <v>999</v>
      </c>
      <c r="M118" s="3">
        <v>0</v>
      </c>
      <c r="N118">
        <v>3996</v>
      </c>
      <c r="O118">
        <v>2400</v>
      </c>
      <c r="P118">
        <v>1596</v>
      </c>
      <c r="Q118" t="s">
        <v>66</v>
      </c>
      <c r="R118" t="s">
        <v>28</v>
      </c>
      <c r="S118">
        <v>1</v>
      </c>
    </row>
    <row r="119" spans="1:19">
      <c r="A119" t="s">
        <v>364</v>
      </c>
      <c r="B119" s="2">
        <v>45956</v>
      </c>
      <c r="C119" t="s">
        <v>365</v>
      </c>
      <c r="D119" t="s">
        <v>366</v>
      </c>
      <c r="E119" t="s">
        <v>22</v>
      </c>
      <c r="F119">
        <v>54</v>
      </c>
      <c r="G119" t="s">
        <v>93</v>
      </c>
      <c r="H119" t="s">
        <v>94</v>
      </c>
      <c r="I119" t="s">
        <v>75</v>
      </c>
      <c r="J119" t="s">
        <v>86</v>
      </c>
      <c r="K119">
        <v>2</v>
      </c>
      <c r="L119">
        <v>499</v>
      </c>
      <c r="M119" s="3">
        <v>0.05</v>
      </c>
      <c r="N119">
        <v>948.1</v>
      </c>
      <c r="O119">
        <v>600</v>
      </c>
      <c r="P119">
        <v>348.1</v>
      </c>
      <c r="Q119" t="s">
        <v>66</v>
      </c>
      <c r="R119" t="s">
        <v>28</v>
      </c>
      <c r="S119">
        <v>3</v>
      </c>
    </row>
    <row r="120" spans="1:19">
      <c r="A120" t="s">
        <v>367</v>
      </c>
      <c r="B120" s="2">
        <v>45745</v>
      </c>
      <c r="C120" t="s">
        <v>363</v>
      </c>
      <c r="D120" t="s">
        <v>155</v>
      </c>
      <c r="E120" t="s">
        <v>32</v>
      </c>
      <c r="F120">
        <v>43</v>
      </c>
      <c r="G120" t="s">
        <v>48</v>
      </c>
      <c r="H120" t="s">
        <v>42</v>
      </c>
      <c r="I120" t="s">
        <v>75</v>
      </c>
      <c r="J120" t="s">
        <v>86</v>
      </c>
      <c r="K120">
        <v>4</v>
      </c>
      <c r="L120">
        <v>499</v>
      </c>
      <c r="M120" s="3">
        <v>0.05</v>
      </c>
      <c r="N120">
        <v>1896.2</v>
      </c>
      <c r="O120">
        <v>1200</v>
      </c>
      <c r="P120">
        <v>696.2</v>
      </c>
      <c r="Q120" t="s">
        <v>50</v>
      </c>
      <c r="R120" t="s">
        <v>51</v>
      </c>
      <c r="S120">
        <v>1</v>
      </c>
    </row>
    <row r="121" spans="1:19">
      <c r="A121" t="s">
        <v>368</v>
      </c>
      <c r="B121" s="2">
        <v>46139</v>
      </c>
      <c r="C121" t="s">
        <v>369</v>
      </c>
      <c r="D121" t="s">
        <v>370</v>
      </c>
      <c r="E121" t="s">
        <v>22</v>
      </c>
      <c r="F121">
        <v>37</v>
      </c>
      <c r="G121" t="s">
        <v>81</v>
      </c>
      <c r="H121" t="s">
        <v>82</v>
      </c>
      <c r="I121" t="s">
        <v>35</v>
      </c>
      <c r="J121" t="s">
        <v>126</v>
      </c>
      <c r="K121">
        <v>1</v>
      </c>
      <c r="L121">
        <v>1499</v>
      </c>
      <c r="M121" s="3">
        <v>0.15</v>
      </c>
      <c r="N121">
        <v>1274.1500000000001</v>
      </c>
      <c r="O121">
        <v>850</v>
      </c>
      <c r="P121">
        <v>424.15</v>
      </c>
      <c r="Q121" t="s">
        <v>69</v>
      </c>
      <c r="R121" t="s">
        <v>28</v>
      </c>
      <c r="S121">
        <v>3</v>
      </c>
    </row>
    <row r="122" spans="1:19">
      <c r="A122" t="s">
        <v>371</v>
      </c>
      <c r="B122" s="2">
        <v>45727</v>
      </c>
      <c r="C122" t="s">
        <v>209</v>
      </c>
      <c r="D122" t="s">
        <v>210</v>
      </c>
      <c r="E122" t="s">
        <v>32</v>
      </c>
      <c r="F122">
        <v>26</v>
      </c>
      <c r="G122" t="s">
        <v>23</v>
      </c>
      <c r="H122" t="s">
        <v>24</v>
      </c>
      <c r="I122" t="s">
        <v>117</v>
      </c>
      <c r="J122" t="s">
        <v>152</v>
      </c>
      <c r="K122">
        <v>1</v>
      </c>
      <c r="L122">
        <v>899</v>
      </c>
      <c r="M122" s="3">
        <v>0.1</v>
      </c>
      <c r="N122">
        <v>809.1</v>
      </c>
      <c r="O122">
        <v>500</v>
      </c>
      <c r="P122">
        <v>309.10000000000002</v>
      </c>
      <c r="Q122" t="s">
        <v>37</v>
      </c>
      <c r="R122" t="s">
        <v>28</v>
      </c>
      <c r="S122">
        <v>1</v>
      </c>
    </row>
    <row r="123" spans="1:19">
      <c r="A123" t="s">
        <v>372</v>
      </c>
      <c r="B123" s="2">
        <v>45703</v>
      </c>
      <c r="C123" t="s">
        <v>212</v>
      </c>
      <c r="D123" t="s">
        <v>213</v>
      </c>
      <c r="E123" t="s">
        <v>22</v>
      </c>
      <c r="F123">
        <v>33</v>
      </c>
      <c r="G123" t="s">
        <v>48</v>
      </c>
      <c r="H123" t="s">
        <v>42</v>
      </c>
      <c r="I123" t="s">
        <v>117</v>
      </c>
      <c r="J123" t="s">
        <v>152</v>
      </c>
      <c r="K123">
        <v>3</v>
      </c>
      <c r="L123">
        <v>899</v>
      </c>
      <c r="M123" s="3">
        <v>0.05</v>
      </c>
      <c r="N123">
        <v>2562.15</v>
      </c>
      <c r="O123">
        <v>1500</v>
      </c>
      <c r="P123">
        <v>1062.1500000000001</v>
      </c>
      <c r="Q123" t="s">
        <v>37</v>
      </c>
      <c r="R123" t="s">
        <v>28</v>
      </c>
      <c r="S123">
        <v>2</v>
      </c>
    </row>
    <row r="124" spans="1:19">
      <c r="A124" t="s">
        <v>373</v>
      </c>
      <c r="B124" s="2">
        <v>45796</v>
      </c>
      <c r="C124" t="s">
        <v>144</v>
      </c>
      <c r="D124" t="s">
        <v>145</v>
      </c>
      <c r="E124" t="s">
        <v>32</v>
      </c>
      <c r="F124">
        <v>37</v>
      </c>
      <c r="G124" t="s">
        <v>146</v>
      </c>
      <c r="H124" t="s">
        <v>61</v>
      </c>
      <c r="I124" t="s">
        <v>117</v>
      </c>
      <c r="J124" t="s">
        <v>238</v>
      </c>
      <c r="K124">
        <v>4</v>
      </c>
      <c r="L124">
        <v>2499</v>
      </c>
      <c r="M124" s="3">
        <v>0.05</v>
      </c>
      <c r="N124">
        <v>9496.2000000000007</v>
      </c>
      <c r="O124">
        <v>6000</v>
      </c>
      <c r="P124">
        <v>3496.2</v>
      </c>
      <c r="Q124" t="s">
        <v>69</v>
      </c>
      <c r="R124" t="s">
        <v>28</v>
      </c>
      <c r="S124">
        <v>4</v>
      </c>
    </row>
    <row r="125" spans="1:19">
      <c r="A125" t="s">
        <v>374</v>
      </c>
      <c r="B125" s="2">
        <v>45862</v>
      </c>
      <c r="C125" t="s">
        <v>321</v>
      </c>
      <c r="D125" t="s">
        <v>322</v>
      </c>
      <c r="E125" t="s">
        <v>22</v>
      </c>
      <c r="F125">
        <v>42</v>
      </c>
      <c r="G125" t="s">
        <v>23</v>
      </c>
      <c r="H125" t="s">
        <v>24</v>
      </c>
      <c r="I125" t="s">
        <v>43</v>
      </c>
      <c r="J125" t="s">
        <v>44</v>
      </c>
      <c r="K125">
        <v>2</v>
      </c>
      <c r="L125">
        <v>1599</v>
      </c>
      <c r="M125" s="3">
        <v>0</v>
      </c>
      <c r="N125">
        <v>3198</v>
      </c>
      <c r="O125">
        <v>1900</v>
      </c>
      <c r="P125">
        <v>1298</v>
      </c>
      <c r="Q125" t="s">
        <v>69</v>
      </c>
      <c r="R125" t="s">
        <v>28</v>
      </c>
      <c r="S125">
        <v>3</v>
      </c>
    </row>
    <row r="126" spans="1:19">
      <c r="A126" t="s">
        <v>375</v>
      </c>
      <c r="B126" s="2">
        <v>45695</v>
      </c>
      <c r="C126" t="s">
        <v>365</v>
      </c>
      <c r="D126" t="s">
        <v>366</v>
      </c>
      <c r="E126" t="s">
        <v>22</v>
      </c>
      <c r="F126">
        <v>54</v>
      </c>
      <c r="G126" t="s">
        <v>93</v>
      </c>
      <c r="H126" t="s">
        <v>94</v>
      </c>
      <c r="I126" t="s">
        <v>163</v>
      </c>
      <c r="J126" t="s">
        <v>290</v>
      </c>
      <c r="K126">
        <v>4</v>
      </c>
      <c r="L126">
        <v>1999</v>
      </c>
      <c r="M126" s="3">
        <v>0.1</v>
      </c>
      <c r="N126">
        <v>7196.4</v>
      </c>
      <c r="O126">
        <v>4800</v>
      </c>
      <c r="P126">
        <v>2396.4</v>
      </c>
      <c r="Q126" t="s">
        <v>27</v>
      </c>
      <c r="R126" t="s">
        <v>28</v>
      </c>
      <c r="S126">
        <v>1</v>
      </c>
    </row>
    <row r="127" spans="1:19">
      <c r="A127" t="s">
        <v>376</v>
      </c>
      <c r="B127" s="2">
        <v>46105</v>
      </c>
      <c r="C127" t="s">
        <v>247</v>
      </c>
      <c r="D127" t="s">
        <v>248</v>
      </c>
      <c r="E127" t="s">
        <v>32</v>
      </c>
      <c r="F127">
        <v>35</v>
      </c>
      <c r="G127" t="s">
        <v>33</v>
      </c>
      <c r="H127" t="s">
        <v>34</v>
      </c>
      <c r="I127" t="s">
        <v>43</v>
      </c>
      <c r="J127" t="s">
        <v>197</v>
      </c>
      <c r="K127">
        <v>1</v>
      </c>
      <c r="L127">
        <v>1799</v>
      </c>
      <c r="M127" s="3">
        <v>0.1</v>
      </c>
      <c r="N127">
        <v>1619.1</v>
      </c>
      <c r="O127">
        <v>1050</v>
      </c>
      <c r="P127">
        <v>569.1</v>
      </c>
      <c r="Q127" t="s">
        <v>66</v>
      </c>
      <c r="R127" t="s">
        <v>28</v>
      </c>
      <c r="S127">
        <v>4</v>
      </c>
    </row>
    <row r="128" spans="1:19">
      <c r="A128" t="s">
        <v>377</v>
      </c>
      <c r="B128" s="2">
        <v>46034</v>
      </c>
      <c r="C128" t="s">
        <v>175</v>
      </c>
      <c r="D128" t="s">
        <v>176</v>
      </c>
      <c r="E128" t="s">
        <v>32</v>
      </c>
      <c r="F128">
        <v>29</v>
      </c>
      <c r="G128" t="s">
        <v>60</v>
      </c>
      <c r="H128" t="s">
        <v>61</v>
      </c>
      <c r="I128" t="s">
        <v>43</v>
      </c>
      <c r="J128" t="s">
        <v>95</v>
      </c>
      <c r="K128">
        <v>4</v>
      </c>
      <c r="L128">
        <v>2499</v>
      </c>
      <c r="M128" s="3">
        <v>0.15</v>
      </c>
      <c r="N128">
        <v>8496.6</v>
      </c>
      <c r="O128">
        <v>6000</v>
      </c>
      <c r="P128">
        <v>2496.6</v>
      </c>
      <c r="Q128" t="s">
        <v>50</v>
      </c>
      <c r="R128" t="s">
        <v>28</v>
      </c>
      <c r="S128">
        <v>1</v>
      </c>
    </row>
    <row r="129" spans="1:19">
      <c r="A129" t="s">
        <v>378</v>
      </c>
      <c r="B129" s="2">
        <v>45842</v>
      </c>
      <c r="C129" t="s">
        <v>100</v>
      </c>
      <c r="D129" t="s">
        <v>101</v>
      </c>
      <c r="E129" t="s">
        <v>32</v>
      </c>
      <c r="F129">
        <v>50</v>
      </c>
      <c r="G129" t="s">
        <v>55</v>
      </c>
      <c r="H129" t="s">
        <v>34</v>
      </c>
      <c r="I129" t="s">
        <v>25</v>
      </c>
      <c r="J129" t="s">
        <v>26</v>
      </c>
      <c r="K129">
        <v>4</v>
      </c>
      <c r="L129">
        <v>2499</v>
      </c>
      <c r="M129" s="3">
        <v>0.2</v>
      </c>
      <c r="N129">
        <v>7996.8</v>
      </c>
      <c r="O129">
        <v>6400</v>
      </c>
      <c r="P129">
        <v>1596.8</v>
      </c>
      <c r="Q129" t="s">
        <v>50</v>
      </c>
      <c r="R129" t="s">
        <v>28</v>
      </c>
      <c r="S129">
        <v>1</v>
      </c>
    </row>
    <row r="130" spans="1:19">
      <c r="A130" t="s">
        <v>379</v>
      </c>
      <c r="B130" s="2">
        <v>46114</v>
      </c>
      <c r="C130" t="s">
        <v>295</v>
      </c>
      <c r="D130" t="s">
        <v>296</v>
      </c>
      <c r="E130" t="s">
        <v>22</v>
      </c>
      <c r="F130">
        <v>33</v>
      </c>
      <c r="G130" t="s">
        <v>41</v>
      </c>
      <c r="H130" t="s">
        <v>42</v>
      </c>
      <c r="I130" t="s">
        <v>163</v>
      </c>
      <c r="J130" t="s">
        <v>164</v>
      </c>
      <c r="K130">
        <v>3</v>
      </c>
      <c r="L130">
        <v>3499</v>
      </c>
      <c r="M130" s="3">
        <v>0.1</v>
      </c>
      <c r="N130">
        <v>9447.2999999999993</v>
      </c>
      <c r="O130">
        <v>6600</v>
      </c>
      <c r="P130">
        <v>2847.3</v>
      </c>
      <c r="Q130" t="s">
        <v>50</v>
      </c>
      <c r="R130" t="s">
        <v>28</v>
      </c>
      <c r="S130">
        <v>2</v>
      </c>
    </row>
    <row r="131" spans="1:19">
      <c r="A131" t="s">
        <v>380</v>
      </c>
      <c r="B131" s="2">
        <v>46019</v>
      </c>
      <c r="C131" t="s">
        <v>381</v>
      </c>
      <c r="D131" t="s">
        <v>382</v>
      </c>
      <c r="E131" t="s">
        <v>22</v>
      </c>
      <c r="F131">
        <v>26</v>
      </c>
      <c r="G131" t="s">
        <v>55</v>
      </c>
      <c r="H131" t="s">
        <v>34</v>
      </c>
      <c r="I131" t="s">
        <v>163</v>
      </c>
      <c r="J131" t="s">
        <v>214</v>
      </c>
      <c r="K131">
        <v>4</v>
      </c>
      <c r="L131">
        <v>1499</v>
      </c>
      <c r="M131" s="3">
        <v>0</v>
      </c>
      <c r="N131">
        <v>5996</v>
      </c>
      <c r="O131">
        <v>3600</v>
      </c>
      <c r="P131">
        <v>2396</v>
      </c>
      <c r="Q131" t="s">
        <v>50</v>
      </c>
      <c r="R131" t="s">
        <v>51</v>
      </c>
      <c r="S131">
        <v>3</v>
      </c>
    </row>
    <row r="132" spans="1:19">
      <c r="A132" t="s">
        <v>383</v>
      </c>
      <c r="B132" s="2">
        <v>46183</v>
      </c>
      <c r="C132" t="s">
        <v>384</v>
      </c>
      <c r="D132" t="s">
        <v>385</v>
      </c>
      <c r="E132" t="s">
        <v>32</v>
      </c>
      <c r="F132">
        <v>22</v>
      </c>
      <c r="G132" t="s">
        <v>48</v>
      </c>
      <c r="H132" t="s">
        <v>42</v>
      </c>
      <c r="I132" t="s">
        <v>25</v>
      </c>
      <c r="J132" t="s">
        <v>26</v>
      </c>
      <c r="K132">
        <v>4</v>
      </c>
      <c r="L132">
        <v>2499</v>
      </c>
      <c r="M132" s="3">
        <v>0.1</v>
      </c>
      <c r="N132">
        <v>8996.4</v>
      </c>
      <c r="O132">
        <v>6400</v>
      </c>
      <c r="P132">
        <v>2596.4</v>
      </c>
      <c r="Q132" t="s">
        <v>27</v>
      </c>
      <c r="R132" t="s">
        <v>51</v>
      </c>
      <c r="S132">
        <v>2</v>
      </c>
    </row>
    <row r="133" spans="1:19">
      <c r="A133" t="s">
        <v>386</v>
      </c>
      <c r="B133" s="2">
        <v>45899</v>
      </c>
      <c r="C133" t="s">
        <v>345</v>
      </c>
      <c r="D133" t="s">
        <v>346</v>
      </c>
      <c r="E133" t="s">
        <v>32</v>
      </c>
      <c r="F133">
        <v>33</v>
      </c>
      <c r="G133" t="s">
        <v>73</v>
      </c>
      <c r="H133" t="s">
        <v>74</v>
      </c>
      <c r="I133" t="s">
        <v>25</v>
      </c>
      <c r="J133" t="s">
        <v>68</v>
      </c>
      <c r="K133">
        <v>2</v>
      </c>
      <c r="L133">
        <v>2999</v>
      </c>
      <c r="M133" s="3">
        <v>0</v>
      </c>
      <c r="N133">
        <v>5998</v>
      </c>
      <c r="O133">
        <v>3800</v>
      </c>
      <c r="P133">
        <v>2198</v>
      </c>
      <c r="Q133" t="s">
        <v>37</v>
      </c>
      <c r="R133" t="s">
        <v>28</v>
      </c>
      <c r="S133">
        <v>5</v>
      </c>
    </row>
    <row r="134" spans="1:19">
      <c r="A134" t="s">
        <v>387</v>
      </c>
      <c r="B134" s="2">
        <v>46037</v>
      </c>
      <c r="C134" t="s">
        <v>236</v>
      </c>
      <c r="D134" t="s">
        <v>237</v>
      </c>
      <c r="E134" t="s">
        <v>32</v>
      </c>
      <c r="F134">
        <v>34</v>
      </c>
      <c r="G134" t="s">
        <v>180</v>
      </c>
      <c r="H134" t="s">
        <v>181</v>
      </c>
      <c r="I134" t="s">
        <v>75</v>
      </c>
      <c r="J134" t="s">
        <v>106</v>
      </c>
      <c r="K134">
        <v>2</v>
      </c>
      <c r="L134">
        <v>899</v>
      </c>
      <c r="M134" s="3">
        <v>0.15</v>
      </c>
      <c r="N134">
        <v>1528.3</v>
      </c>
      <c r="O134">
        <v>1200</v>
      </c>
      <c r="P134">
        <v>328.3</v>
      </c>
      <c r="Q134" t="s">
        <v>37</v>
      </c>
      <c r="R134" t="s">
        <v>28</v>
      </c>
      <c r="S134">
        <v>1</v>
      </c>
    </row>
    <row r="135" spans="1:19">
      <c r="A135" t="s">
        <v>388</v>
      </c>
      <c r="B135" s="2">
        <v>45979</v>
      </c>
      <c r="C135" t="s">
        <v>283</v>
      </c>
      <c r="D135" t="s">
        <v>284</v>
      </c>
      <c r="E135" t="s">
        <v>32</v>
      </c>
      <c r="F135">
        <v>39</v>
      </c>
      <c r="G135" t="s">
        <v>55</v>
      </c>
      <c r="H135" t="s">
        <v>34</v>
      </c>
      <c r="I135" t="s">
        <v>25</v>
      </c>
      <c r="J135" t="s">
        <v>62</v>
      </c>
      <c r="K135">
        <v>3</v>
      </c>
      <c r="L135">
        <v>1299</v>
      </c>
      <c r="M135" s="3">
        <v>0.15</v>
      </c>
      <c r="N135">
        <v>3312.45</v>
      </c>
      <c r="O135">
        <v>2400</v>
      </c>
      <c r="P135">
        <v>912.45</v>
      </c>
      <c r="Q135" t="s">
        <v>37</v>
      </c>
      <c r="R135" t="s">
        <v>28</v>
      </c>
      <c r="S135">
        <v>1</v>
      </c>
    </row>
    <row r="136" spans="1:19">
      <c r="A136" t="s">
        <v>389</v>
      </c>
      <c r="B136" s="2">
        <v>46188</v>
      </c>
      <c r="C136" t="s">
        <v>390</v>
      </c>
      <c r="D136" t="s">
        <v>391</v>
      </c>
      <c r="E136" t="s">
        <v>32</v>
      </c>
      <c r="F136">
        <v>27</v>
      </c>
      <c r="G136" t="s">
        <v>55</v>
      </c>
      <c r="H136" t="s">
        <v>34</v>
      </c>
      <c r="I136" t="s">
        <v>117</v>
      </c>
      <c r="J136" t="s">
        <v>152</v>
      </c>
      <c r="K136">
        <v>2</v>
      </c>
      <c r="L136">
        <v>899</v>
      </c>
      <c r="M136" s="3">
        <v>0.15</v>
      </c>
      <c r="N136">
        <v>1528.3</v>
      </c>
      <c r="O136">
        <v>1000</v>
      </c>
      <c r="P136">
        <v>528.29999999999995</v>
      </c>
      <c r="Q136" t="s">
        <v>66</v>
      </c>
      <c r="R136" t="s">
        <v>77</v>
      </c>
      <c r="S136">
        <v>1</v>
      </c>
    </row>
    <row r="137" spans="1:19">
      <c r="A137" t="s">
        <v>392</v>
      </c>
      <c r="B137" s="2">
        <v>45950</v>
      </c>
      <c r="C137" t="s">
        <v>393</v>
      </c>
      <c r="D137" t="s">
        <v>394</v>
      </c>
      <c r="E137" t="s">
        <v>22</v>
      </c>
      <c r="F137">
        <v>26</v>
      </c>
      <c r="G137" t="s">
        <v>41</v>
      </c>
      <c r="H137" t="s">
        <v>42</v>
      </c>
      <c r="I137" t="s">
        <v>43</v>
      </c>
      <c r="J137" t="s">
        <v>197</v>
      </c>
      <c r="K137">
        <v>4</v>
      </c>
      <c r="L137">
        <v>1799</v>
      </c>
      <c r="M137" s="3">
        <v>0.05</v>
      </c>
      <c r="N137">
        <v>6836.2</v>
      </c>
      <c r="O137">
        <v>4200</v>
      </c>
      <c r="P137">
        <v>2636.2</v>
      </c>
      <c r="Q137" t="s">
        <v>66</v>
      </c>
      <c r="R137" t="s">
        <v>28</v>
      </c>
      <c r="S137">
        <v>2</v>
      </c>
    </row>
    <row r="138" spans="1:19">
      <c r="A138" t="s">
        <v>395</v>
      </c>
      <c r="B138" s="2">
        <v>45747</v>
      </c>
      <c r="C138" t="s">
        <v>261</v>
      </c>
      <c r="D138" t="s">
        <v>262</v>
      </c>
      <c r="E138" t="s">
        <v>22</v>
      </c>
      <c r="F138">
        <v>54</v>
      </c>
      <c r="G138" t="s">
        <v>60</v>
      </c>
      <c r="H138" t="s">
        <v>61</v>
      </c>
      <c r="I138" t="s">
        <v>35</v>
      </c>
      <c r="J138" t="s">
        <v>136</v>
      </c>
      <c r="K138">
        <v>2</v>
      </c>
      <c r="L138">
        <v>799</v>
      </c>
      <c r="M138" s="3">
        <v>0.15</v>
      </c>
      <c r="N138">
        <v>1358.3</v>
      </c>
      <c r="O138">
        <v>900</v>
      </c>
      <c r="P138">
        <v>458.3</v>
      </c>
      <c r="Q138" t="s">
        <v>37</v>
      </c>
      <c r="R138" t="s">
        <v>28</v>
      </c>
      <c r="S138">
        <v>1</v>
      </c>
    </row>
    <row r="139" spans="1:19">
      <c r="A139" t="s">
        <v>396</v>
      </c>
      <c r="B139" s="2">
        <v>45819</v>
      </c>
      <c r="C139" t="s">
        <v>397</v>
      </c>
      <c r="D139" t="s">
        <v>284</v>
      </c>
      <c r="E139" t="s">
        <v>22</v>
      </c>
      <c r="F139">
        <v>51</v>
      </c>
      <c r="G139" t="s">
        <v>33</v>
      </c>
      <c r="H139" t="s">
        <v>34</v>
      </c>
      <c r="I139" t="s">
        <v>35</v>
      </c>
      <c r="J139" t="s">
        <v>126</v>
      </c>
      <c r="K139">
        <v>3</v>
      </c>
      <c r="L139">
        <v>1499</v>
      </c>
      <c r="M139" s="3">
        <v>0.1</v>
      </c>
      <c r="N139">
        <v>4047.3</v>
      </c>
      <c r="O139">
        <v>2550</v>
      </c>
      <c r="P139">
        <v>1497.3</v>
      </c>
      <c r="Q139" t="s">
        <v>27</v>
      </c>
      <c r="R139" t="s">
        <v>137</v>
      </c>
      <c r="S139">
        <v>2</v>
      </c>
    </row>
    <row r="140" spans="1:19">
      <c r="A140" t="s">
        <v>398</v>
      </c>
      <c r="B140" s="2">
        <v>46163</v>
      </c>
      <c r="C140" t="s">
        <v>243</v>
      </c>
      <c r="D140" t="s">
        <v>244</v>
      </c>
      <c r="E140" t="s">
        <v>22</v>
      </c>
      <c r="F140">
        <v>38</v>
      </c>
      <c r="G140" t="s">
        <v>23</v>
      </c>
      <c r="H140" t="s">
        <v>24</v>
      </c>
      <c r="I140" t="s">
        <v>43</v>
      </c>
      <c r="J140" t="s">
        <v>49</v>
      </c>
      <c r="K140">
        <v>2</v>
      </c>
      <c r="L140">
        <v>799</v>
      </c>
      <c r="M140" s="3">
        <v>0.05</v>
      </c>
      <c r="N140">
        <v>1518.1</v>
      </c>
      <c r="O140">
        <v>900</v>
      </c>
      <c r="P140">
        <v>618.1</v>
      </c>
      <c r="Q140" t="s">
        <v>69</v>
      </c>
      <c r="R140" t="s">
        <v>28</v>
      </c>
      <c r="S140">
        <v>5</v>
      </c>
    </row>
    <row r="141" spans="1:19">
      <c r="A141" t="s">
        <v>399</v>
      </c>
      <c r="B141" s="2">
        <v>45746</v>
      </c>
      <c r="C141" t="s">
        <v>30</v>
      </c>
      <c r="D141" t="s">
        <v>31</v>
      </c>
      <c r="E141" t="s">
        <v>32</v>
      </c>
      <c r="F141">
        <v>29</v>
      </c>
      <c r="G141" t="s">
        <v>33</v>
      </c>
      <c r="H141" t="s">
        <v>34</v>
      </c>
      <c r="I141" t="s">
        <v>35</v>
      </c>
      <c r="J141" t="s">
        <v>136</v>
      </c>
      <c r="K141">
        <v>2</v>
      </c>
      <c r="L141">
        <v>799</v>
      </c>
      <c r="M141" s="3">
        <v>0.2</v>
      </c>
      <c r="N141">
        <v>1278.4000000000001</v>
      </c>
      <c r="O141">
        <v>900</v>
      </c>
      <c r="P141">
        <v>378.4</v>
      </c>
      <c r="Q141" t="s">
        <v>69</v>
      </c>
      <c r="R141" t="s">
        <v>28</v>
      </c>
      <c r="S141">
        <v>4</v>
      </c>
    </row>
    <row r="142" spans="1:19">
      <c r="A142" t="s">
        <v>400</v>
      </c>
      <c r="B142" s="2">
        <v>45733</v>
      </c>
      <c r="C142" t="s">
        <v>369</v>
      </c>
      <c r="D142" t="s">
        <v>370</v>
      </c>
      <c r="E142" t="s">
        <v>22</v>
      </c>
      <c r="F142">
        <v>37</v>
      </c>
      <c r="G142" t="s">
        <v>81</v>
      </c>
      <c r="H142" t="s">
        <v>82</v>
      </c>
      <c r="I142" t="s">
        <v>163</v>
      </c>
      <c r="J142" t="s">
        <v>234</v>
      </c>
      <c r="K142">
        <v>4</v>
      </c>
      <c r="L142">
        <v>999</v>
      </c>
      <c r="M142" s="3">
        <v>0.2</v>
      </c>
      <c r="N142">
        <v>3196.8</v>
      </c>
      <c r="O142">
        <v>2400</v>
      </c>
      <c r="P142">
        <v>796.8</v>
      </c>
      <c r="Q142" t="s">
        <v>27</v>
      </c>
      <c r="R142" t="s">
        <v>51</v>
      </c>
      <c r="S142">
        <v>1</v>
      </c>
    </row>
    <row r="143" spans="1:19">
      <c r="A143" t="s">
        <v>401</v>
      </c>
      <c r="B143" s="2">
        <v>46222</v>
      </c>
      <c r="C143" t="s">
        <v>257</v>
      </c>
      <c r="D143" t="s">
        <v>125</v>
      </c>
      <c r="E143" t="s">
        <v>32</v>
      </c>
      <c r="F143">
        <v>52</v>
      </c>
      <c r="G143" t="s">
        <v>33</v>
      </c>
      <c r="H143" t="s">
        <v>34</v>
      </c>
      <c r="I143" t="s">
        <v>35</v>
      </c>
      <c r="J143" t="s">
        <v>136</v>
      </c>
      <c r="K143">
        <v>3</v>
      </c>
      <c r="L143">
        <v>799</v>
      </c>
      <c r="M143" s="3">
        <v>0.05</v>
      </c>
      <c r="N143">
        <v>2277.15</v>
      </c>
      <c r="O143">
        <v>1350</v>
      </c>
      <c r="P143">
        <v>927.15</v>
      </c>
      <c r="Q143" t="s">
        <v>50</v>
      </c>
      <c r="R143" t="s">
        <v>28</v>
      </c>
      <c r="S143">
        <v>2</v>
      </c>
    </row>
    <row r="144" spans="1:19">
      <c r="A144" t="s">
        <v>402</v>
      </c>
      <c r="B144" s="2">
        <v>46188</v>
      </c>
      <c r="C144" t="s">
        <v>267</v>
      </c>
      <c r="D144" t="s">
        <v>268</v>
      </c>
      <c r="E144" t="s">
        <v>22</v>
      </c>
      <c r="F144">
        <v>35</v>
      </c>
      <c r="G144" t="s">
        <v>141</v>
      </c>
      <c r="H144" t="s">
        <v>142</v>
      </c>
      <c r="I144" t="s">
        <v>35</v>
      </c>
      <c r="J144" t="s">
        <v>108</v>
      </c>
      <c r="K144">
        <v>1</v>
      </c>
      <c r="L144">
        <v>699</v>
      </c>
      <c r="M144" s="3">
        <v>0</v>
      </c>
      <c r="N144">
        <v>699</v>
      </c>
      <c r="O144">
        <v>380</v>
      </c>
      <c r="P144">
        <v>319</v>
      </c>
      <c r="Q144" t="s">
        <v>27</v>
      </c>
      <c r="R144" t="s">
        <v>28</v>
      </c>
      <c r="S144">
        <v>2</v>
      </c>
    </row>
    <row r="145" spans="1:19">
      <c r="A145" t="s">
        <v>403</v>
      </c>
      <c r="B145" s="2">
        <v>46189</v>
      </c>
      <c r="C145" t="s">
        <v>110</v>
      </c>
      <c r="D145" t="s">
        <v>111</v>
      </c>
      <c r="E145" t="s">
        <v>22</v>
      </c>
      <c r="F145">
        <v>47</v>
      </c>
      <c r="G145" t="s">
        <v>48</v>
      </c>
      <c r="H145" t="s">
        <v>42</v>
      </c>
      <c r="I145" t="s">
        <v>117</v>
      </c>
      <c r="J145" t="s">
        <v>238</v>
      </c>
      <c r="K145">
        <v>2</v>
      </c>
      <c r="L145">
        <v>2499</v>
      </c>
      <c r="M145" s="3">
        <v>0.1</v>
      </c>
      <c r="N145">
        <v>4498.2</v>
      </c>
      <c r="O145">
        <v>3000</v>
      </c>
      <c r="P145">
        <v>1498.2</v>
      </c>
      <c r="Q145" t="s">
        <v>37</v>
      </c>
      <c r="R145" t="s">
        <v>137</v>
      </c>
      <c r="S145">
        <v>3</v>
      </c>
    </row>
    <row r="146" spans="1:19">
      <c r="A146" t="s">
        <v>404</v>
      </c>
      <c r="B146" s="2">
        <v>45968</v>
      </c>
      <c r="C146" t="s">
        <v>405</v>
      </c>
      <c r="D146" t="s">
        <v>213</v>
      </c>
      <c r="E146" t="s">
        <v>22</v>
      </c>
      <c r="F146">
        <v>28</v>
      </c>
      <c r="G146" t="s">
        <v>60</v>
      </c>
      <c r="H146" t="s">
        <v>61</v>
      </c>
      <c r="I146" t="s">
        <v>75</v>
      </c>
      <c r="J146" t="s">
        <v>76</v>
      </c>
      <c r="K146">
        <v>3</v>
      </c>
      <c r="L146">
        <v>399</v>
      </c>
      <c r="M146" s="3">
        <v>0.05</v>
      </c>
      <c r="N146">
        <v>1137.1500000000001</v>
      </c>
      <c r="O146">
        <v>660</v>
      </c>
      <c r="P146">
        <v>477.15</v>
      </c>
      <c r="Q146" t="s">
        <v>50</v>
      </c>
      <c r="R146" t="s">
        <v>28</v>
      </c>
      <c r="S146">
        <v>5</v>
      </c>
    </row>
    <row r="147" spans="1:19">
      <c r="A147" t="s">
        <v>406</v>
      </c>
      <c r="B147" s="2">
        <v>46003</v>
      </c>
      <c r="C147" t="s">
        <v>407</v>
      </c>
      <c r="D147" t="s">
        <v>408</v>
      </c>
      <c r="E147" t="s">
        <v>32</v>
      </c>
      <c r="F147">
        <v>44</v>
      </c>
      <c r="G147" t="s">
        <v>48</v>
      </c>
      <c r="H147" t="s">
        <v>42</v>
      </c>
      <c r="I147" t="s">
        <v>75</v>
      </c>
      <c r="J147" t="s">
        <v>86</v>
      </c>
      <c r="K147">
        <v>2</v>
      </c>
      <c r="L147">
        <v>499</v>
      </c>
      <c r="M147" s="3">
        <v>0.05</v>
      </c>
      <c r="N147">
        <v>948.1</v>
      </c>
      <c r="O147">
        <v>600</v>
      </c>
      <c r="P147">
        <v>348.1</v>
      </c>
      <c r="Q147" t="s">
        <v>50</v>
      </c>
      <c r="R147" t="s">
        <v>28</v>
      </c>
      <c r="S147">
        <v>1</v>
      </c>
    </row>
    <row r="148" spans="1:19">
      <c r="A148" t="s">
        <v>409</v>
      </c>
      <c r="B148" s="2">
        <v>46243</v>
      </c>
      <c r="C148" t="s">
        <v>295</v>
      </c>
      <c r="D148" t="s">
        <v>296</v>
      </c>
      <c r="E148" t="s">
        <v>22</v>
      </c>
      <c r="F148">
        <v>33</v>
      </c>
      <c r="G148" t="s">
        <v>41</v>
      </c>
      <c r="H148" t="s">
        <v>42</v>
      </c>
      <c r="I148" t="s">
        <v>25</v>
      </c>
      <c r="J148" t="s">
        <v>68</v>
      </c>
      <c r="K148">
        <v>3</v>
      </c>
      <c r="L148">
        <v>2999</v>
      </c>
      <c r="M148" s="3">
        <v>0.05</v>
      </c>
      <c r="N148">
        <v>8547.15</v>
      </c>
      <c r="O148">
        <v>5700</v>
      </c>
      <c r="P148">
        <v>2847.15</v>
      </c>
      <c r="Q148" t="s">
        <v>66</v>
      </c>
      <c r="R148" t="s">
        <v>28</v>
      </c>
      <c r="S148">
        <v>1</v>
      </c>
    </row>
    <row r="149" spans="1:19">
      <c r="A149" t="s">
        <v>410</v>
      </c>
      <c r="B149" s="2">
        <v>46152</v>
      </c>
      <c r="C149" t="s">
        <v>207</v>
      </c>
      <c r="D149" t="s">
        <v>72</v>
      </c>
      <c r="E149" t="s">
        <v>22</v>
      </c>
      <c r="F149">
        <v>48</v>
      </c>
      <c r="G149" t="s">
        <v>180</v>
      </c>
      <c r="H149" t="s">
        <v>181</v>
      </c>
      <c r="I149" t="s">
        <v>75</v>
      </c>
      <c r="J149" t="s">
        <v>76</v>
      </c>
      <c r="K149">
        <v>3</v>
      </c>
      <c r="L149">
        <v>399</v>
      </c>
      <c r="M149" s="3">
        <v>0.1</v>
      </c>
      <c r="N149">
        <v>1077.3</v>
      </c>
      <c r="O149">
        <v>660</v>
      </c>
      <c r="P149">
        <v>417.3</v>
      </c>
      <c r="Q149" t="s">
        <v>27</v>
      </c>
      <c r="R149" t="s">
        <v>137</v>
      </c>
      <c r="S149">
        <v>4</v>
      </c>
    </row>
    <row r="150" spans="1:19">
      <c r="A150" t="s">
        <v>411</v>
      </c>
      <c r="B150" s="2">
        <v>45819</v>
      </c>
      <c r="C150" t="s">
        <v>84</v>
      </c>
      <c r="D150" t="s">
        <v>85</v>
      </c>
      <c r="E150" t="s">
        <v>32</v>
      </c>
      <c r="F150">
        <v>20</v>
      </c>
      <c r="G150" t="s">
        <v>41</v>
      </c>
      <c r="H150" t="s">
        <v>42</v>
      </c>
      <c r="I150" t="s">
        <v>35</v>
      </c>
      <c r="J150" t="s">
        <v>136</v>
      </c>
      <c r="K150">
        <v>1</v>
      </c>
      <c r="L150">
        <v>799</v>
      </c>
      <c r="M150" s="3">
        <v>0</v>
      </c>
      <c r="N150">
        <v>799</v>
      </c>
      <c r="O150">
        <v>450</v>
      </c>
      <c r="P150">
        <v>349</v>
      </c>
      <c r="Q150" t="s">
        <v>66</v>
      </c>
      <c r="R150" t="s">
        <v>28</v>
      </c>
      <c r="S150">
        <v>4</v>
      </c>
    </row>
    <row r="151" spans="1:19">
      <c r="A151" t="s">
        <v>412</v>
      </c>
      <c r="B151" s="2">
        <v>45984</v>
      </c>
      <c r="C151" t="s">
        <v>413</v>
      </c>
      <c r="D151" t="s">
        <v>414</v>
      </c>
      <c r="E151" t="s">
        <v>22</v>
      </c>
      <c r="F151">
        <v>42</v>
      </c>
      <c r="G151" t="s">
        <v>33</v>
      </c>
      <c r="H151" t="s">
        <v>34</v>
      </c>
      <c r="I151" t="s">
        <v>163</v>
      </c>
      <c r="J151" t="s">
        <v>164</v>
      </c>
      <c r="K151">
        <v>2</v>
      </c>
      <c r="L151">
        <v>3499</v>
      </c>
      <c r="M151" s="3">
        <v>0.1</v>
      </c>
      <c r="N151">
        <v>6298.2</v>
      </c>
      <c r="O151">
        <v>4400</v>
      </c>
      <c r="P151">
        <v>1898.2</v>
      </c>
      <c r="Q151" t="s">
        <v>37</v>
      </c>
      <c r="R151" t="s">
        <v>51</v>
      </c>
      <c r="S151">
        <v>2</v>
      </c>
    </row>
    <row r="152" spans="1:19">
      <c r="A152" t="s">
        <v>415</v>
      </c>
      <c r="B152" s="2">
        <v>45905</v>
      </c>
      <c r="C152" t="s">
        <v>30</v>
      </c>
      <c r="D152" t="s">
        <v>31</v>
      </c>
      <c r="E152" t="s">
        <v>32</v>
      </c>
      <c r="F152">
        <v>29</v>
      </c>
      <c r="G152" t="s">
        <v>33</v>
      </c>
      <c r="H152" t="s">
        <v>34</v>
      </c>
      <c r="I152" t="s">
        <v>35</v>
      </c>
      <c r="J152" t="s">
        <v>108</v>
      </c>
      <c r="K152">
        <v>1</v>
      </c>
      <c r="L152">
        <v>699</v>
      </c>
      <c r="M152" s="3">
        <v>0.1</v>
      </c>
      <c r="N152">
        <v>629.1</v>
      </c>
      <c r="O152">
        <v>380</v>
      </c>
      <c r="P152">
        <v>249.1</v>
      </c>
      <c r="Q152" t="s">
        <v>66</v>
      </c>
      <c r="R152" t="s">
        <v>28</v>
      </c>
      <c r="S152">
        <v>4</v>
      </c>
    </row>
    <row r="153" spans="1:19">
      <c r="A153" t="s">
        <v>416</v>
      </c>
      <c r="B153" s="2">
        <v>45955</v>
      </c>
      <c r="C153" t="s">
        <v>79</v>
      </c>
      <c r="D153" t="s">
        <v>80</v>
      </c>
      <c r="E153" t="s">
        <v>22</v>
      </c>
      <c r="F153">
        <v>22</v>
      </c>
      <c r="G153" t="s">
        <v>81</v>
      </c>
      <c r="H153" t="s">
        <v>82</v>
      </c>
      <c r="I153" t="s">
        <v>25</v>
      </c>
      <c r="J153" t="s">
        <v>62</v>
      </c>
      <c r="K153">
        <v>1</v>
      </c>
      <c r="L153">
        <v>1299</v>
      </c>
      <c r="M153" s="3">
        <v>0</v>
      </c>
      <c r="N153">
        <v>1299</v>
      </c>
      <c r="O153">
        <v>800</v>
      </c>
      <c r="P153">
        <v>499</v>
      </c>
      <c r="Q153" t="s">
        <v>66</v>
      </c>
      <c r="R153" t="s">
        <v>137</v>
      </c>
      <c r="S153">
        <v>4</v>
      </c>
    </row>
    <row r="154" spans="1:19">
      <c r="A154" t="s">
        <v>417</v>
      </c>
      <c r="B154" s="2">
        <v>45978</v>
      </c>
      <c r="C154" t="s">
        <v>79</v>
      </c>
      <c r="D154" t="s">
        <v>80</v>
      </c>
      <c r="E154" t="s">
        <v>22</v>
      </c>
      <c r="F154">
        <v>22</v>
      </c>
      <c r="G154" t="s">
        <v>81</v>
      </c>
      <c r="H154" t="s">
        <v>82</v>
      </c>
      <c r="I154" t="s">
        <v>43</v>
      </c>
      <c r="J154" t="s">
        <v>95</v>
      </c>
      <c r="K154">
        <v>3</v>
      </c>
      <c r="L154">
        <v>2499</v>
      </c>
      <c r="M154" s="3">
        <v>0.2</v>
      </c>
      <c r="N154">
        <v>5997.6</v>
      </c>
      <c r="O154">
        <v>4500</v>
      </c>
      <c r="P154">
        <v>1497.6</v>
      </c>
      <c r="Q154" t="s">
        <v>27</v>
      </c>
      <c r="R154" t="s">
        <v>28</v>
      </c>
      <c r="S154">
        <v>4</v>
      </c>
    </row>
    <row r="155" spans="1:19">
      <c r="A155" t="s">
        <v>418</v>
      </c>
      <c r="B155" s="2">
        <v>46167</v>
      </c>
      <c r="C155" t="s">
        <v>365</v>
      </c>
      <c r="D155" t="s">
        <v>366</v>
      </c>
      <c r="E155" t="s">
        <v>22</v>
      </c>
      <c r="F155">
        <v>54</v>
      </c>
      <c r="G155" t="s">
        <v>93</v>
      </c>
      <c r="H155" t="s">
        <v>94</v>
      </c>
      <c r="I155" t="s">
        <v>35</v>
      </c>
      <c r="J155" t="s">
        <v>136</v>
      </c>
      <c r="K155">
        <v>4</v>
      </c>
      <c r="L155">
        <v>799</v>
      </c>
      <c r="M155" s="3">
        <v>0.1</v>
      </c>
      <c r="N155">
        <v>2876.4</v>
      </c>
      <c r="O155">
        <v>1800</v>
      </c>
      <c r="P155">
        <v>1076.4000000000001</v>
      </c>
      <c r="Q155" t="s">
        <v>69</v>
      </c>
      <c r="R155" t="s">
        <v>28</v>
      </c>
      <c r="S155">
        <v>4</v>
      </c>
    </row>
    <row r="156" spans="1:19">
      <c r="A156" t="s">
        <v>419</v>
      </c>
      <c r="B156" s="2">
        <v>46255</v>
      </c>
      <c r="C156" t="s">
        <v>326</v>
      </c>
      <c r="D156" t="s">
        <v>327</v>
      </c>
      <c r="E156" t="s">
        <v>22</v>
      </c>
      <c r="F156">
        <v>33</v>
      </c>
      <c r="G156" t="s">
        <v>141</v>
      </c>
      <c r="H156" t="s">
        <v>142</v>
      </c>
      <c r="I156" t="s">
        <v>35</v>
      </c>
      <c r="J156" t="s">
        <v>136</v>
      </c>
      <c r="K156">
        <v>2</v>
      </c>
      <c r="L156">
        <v>799</v>
      </c>
      <c r="M156" s="3">
        <v>0.05</v>
      </c>
      <c r="N156">
        <v>1518.1</v>
      </c>
      <c r="O156">
        <v>900</v>
      </c>
      <c r="P156">
        <v>618.1</v>
      </c>
      <c r="Q156" t="s">
        <v>37</v>
      </c>
      <c r="R156" t="s">
        <v>28</v>
      </c>
      <c r="S156">
        <v>3</v>
      </c>
    </row>
    <row r="157" spans="1:19">
      <c r="A157" t="s">
        <v>420</v>
      </c>
      <c r="B157" s="2">
        <v>46207</v>
      </c>
      <c r="C157" t="s">
        <v>230</v>
      </c>
      <c r="D157" t="s">
        <v>231</v>
      </c>
      <c r="E157" t="s">
        <v>32</v>
      </c>
      <c r="F157">
        <v>35</v>
      </c>
      <c r="G157" t="s">
        <v>55</v>
      </c>
      <c r="H157" t="s">
        <v>34</v>
      </c>
      <c r="I157" t="s">
        <v>75</v>
      </c>
      <c r="J157" t="s">
        <v>106</v>
      </c>
      <c r="K157">
        <v>4</v>
      </c>
      <c r="L157">
        <v>899</v>
      </c>
      <c r="M157" s="3">
        <v>0.1</v>
      </c>
      <c r="N157">
        <v>3236.4</v>
      </c>
      <c r="O157">
        <v>2400</v>
      </c>
      <c r="P157">
        <v>836.4</v>
      </c>
      <c r="Q157" t="s">
        <v>69</v>
      </c>
      <c r="R157" t="s">
        <v>137</v>
      </c>
      <c r="S157">
        <v>4</v>
      </c>
    </row>
    <row r="158" spans="1:19">
      <c r="A158" t="s">
        <v>421</v>
      </c>
      <c r="B158" s="2">
        <v>46032</v>
      </c>
      <c r="C158" t="s">
        <v>422</v>
      </c>
      <c r="D158" t="s">
        <v>423</v>
      </c>
      <c r="E158" t="s">
        <v>22</v>
      </c>
      <c r="F158">
        <v>26</v>
      </c>
      <c r="G158" t="s">
        <v>141</v>
      </c>
      <c r="H158" t="s">
        <v>142</v>
      </c>
      <c r="I158" t="s">
        <v>43</v>
      </c>
      <c r="J158" t="s">
        <v>197</v>
      </c>
      <c r="K158">
        <v>3</v>
      </c>
      <c r="L158">
        <v>1799</v>
      </c>
      <c r="M158" s="3">
        <v>0.15</v>
      </c>
      <c r="N158">
        <v>4587.45</v>
      </c>
      <c r="O158">
        <v>3150</v>
      </c>
      <c r="P158">
        <v>1437.45</v>
      </c>
      <c r="Q158" t="s">
        <v>69</v>
      </c>
      <c r="R158" t="s">
        <v>28</v>
      </c>
      <c r="S158">
        <v>5</v>
      </c>
    </row>
    <row r="159" spans="1:19">
      <c r="A159" t="s">
        <v>424</v>
      </c>
      <c r="B159" s="2">
        <v>45953</v>
      </c>
      <c r="C159" t="s">
        <v>277</v>
      </c>
      <c r="D159" t="s">
        <v>278</v>
      </c>
      <c r="E159" t="s">
        <v>32</v>
      </c>
      <c r="F159">
        <v>33</v>
      </c>
      <c r="G159" t="s">
        <v>105</v>
      </c>
      <c r="H159" t="s">
        <v>105</v>
      </c>
      <c r="I159" t="s">
        <v>43</v>
      </c>
      <c r="J159" t="s">
        <v>49</v>
      </c>
      <c r="K159">
        <v>3</v>
      </c>
      <c r="L159">
        <v>799</v>
      </c>
      <c r="M159" s="3">
        <v>0.2</v>
      </c>
      <c r="N159">
        <v>1917.6</v>
      </c>
      <c r="O159">
        <v>1350</v>
      </c>
      <c r="P159">
        <v>567.6</v>
      </c>
      <c r="Q159" t="s">
        <v>69</v>
      </c>
      <c r="R159" t="s">
        <v>28</v>
      </c>
      <c r="S159">
        <v>4</v>
      </c>
    </row>
    <row r="160" spans="1:19">
      <c r="A160" t="s">
        <v>425</v>
      </c>
      <c r="B160" s="2">
        <v>45757</v>
      </c>
      <c r="C160" t="s">
        <v>397</v>
      </c>
      <c r="D160" t="s">
        <v>284</v>
      </c>
      <c r="E160" t="s">
        <v>22</v>
      </c>
      <c r="F160">
        <v>51</v>
      </c>
      <c r="G160" t="s">
        <v>33</v>
      </c>
      <c r="H160" t="s">
        <v>34</v>
      </c>
      <c r="I160" t="s">
        <v>43</v>
      </c>
      <c r="J160" t="s">
        <v>197</v>
      </c>
      <c r="K160">
        <v>1</v>
      </c>
      <c r="L160">
        <v>1799</v>
      </c>
      <c r="M160" s="3">
        <v>0.05</v>
      </c>
      <c r="N160">
        <v>1709.05</v>
      </c>
      <c r="O160">
        <v>1050</v>
      </c>
      <c r="P160">
        <v>659.05</v>
      </c>
      <c r="Q160" t="s">
        <v>66</v>
      </c>
      <c r="R160" t="s">
        <v>28</v>
      </c>
      <c r="S160">
        <v>3</v>
      </c>
    </row>
    <row r="161" spans="1:19">
      <c r="A161" t="s">
        <v>426</v>
      </c>
      <c r="B161" s="2">
        <v>46179</v>
      </c>
      <c r="C161" t="s">
        <v>427</v>
      </c>
      <c r="D161" t="s">
        <v>248</v>
      </c>
      <c r="E161" t="s">
        <v>32</v>
      </c>
      <c r="F161">
        <v>33</v>
      </c>
      <c r="G161" t="s">
        <v>41</v>
      </c>
      <c r="H161" t="s">
        <v>42</v>
      </c>
      <c r="I161" t="s">
        <v>163</v>
      </c>
      <c r="J161" t="s">
        <v>214</v>
      </c>
      <c r="K161">
        <v>2</v>
      </c>
      <c r="L161">
        <v>1499</v>
      </c>
      <c r="M161" s="3">
        <v>0.05</v>
      </c>
      <c r="N161">
        <v>2848.1</v>
      </c>
      <c r="O161">
        <v>1800</v>
      </c>
      <c r="P161">
        <v>1048.0999999999999</v>
      </c>
      <c r="Q161" t="s">
        <v>66</v>
      </c>
      <c r="R161" t="s">
        <v>28</v>
      </c>
      <c r="S161">
        <v>1</v>
      </c>
    </row>
    <row r="162" spans="1:19">
      <c r="A162" t="s">
        <v>428</v>
      </c>
      <c r="B162" s="2">
        <v>46189</v>
      </c>
      <c r="C162" t="s">
        <v>321</v>
      </c>
      <c r="D162" t="s">
        <v>322</v>
      </c>
      <c r="E162" t="s">
        <v>22</v>
      </c>
      <c r="F162">
        <v>42</v>
      </c>
      <c r="G162" t="s">
        <v>23</v>
      </c>
      <c r="H162" t="s">
        <v>24</v>
      </c>
      <c r="I162" t="s">
        <v>25</v>
      </c>
      <c r="J162" t="s">
        <v>62</v>
      </c>
      <c r="K162">
        <v>3</v>
      </c>
      <c r="L162">
        <v>1299</v>
      </c>
      <c r="M162" s="3">
        <v>0.15</v>
      </c>
      <c r="N162">
        <v>3312.45</v>
      </c>
      <c r="O162">
        <v>2400</v>
      </c>
      <c r="P162">
        <v>912.45</v>
      </c>
      <c r="Q162" t="s">
        <v>66</v>
      </c>
      <c r="R162" t="s">
        <v>28</v>
      </c>
      <c r="S162">
        <v>5</v>
      </c>
    </row>
    <row r="163" spans="1:19">
      <c r="A163" t="s">
        <v>429</v>
      </c>
      <c r="B163" s="2">
        <v>46060</v>
      </c>
      <c r="C163" t="s">
        <v>359</v>
      </c>
      <c r="D163" t="s">
        <v>360</v>
      </c>
      <c r="E163" t="s">
        <v>32</v>
      </c>
      <c r="F163">
        <v>51</v>
      </c>
      <c r="G163" t="s">
        <v>251</v>
      </c>
      <c r="H163" t="s">
        <v>251</v>
      </c>
      <c r="I163" t="s">
        <v>163</v>
      </c>
      <c r="J163" t="s">
        <v>164</v>
      </c>
      <c r="K163">
        <v>3</v>
      </c>
      <c r="L163">
        <v>3499</v>
      </c>
      <c r="M163" s="3">
        <v>0.05</v>
      </c>
      <c r="N163">
        <v>9972.15</v>
      </c>
      <c r="O163">
        <v>6600</v>
      </c>
      <c r="P163">
        <v>3372.15</v>
      </c>
      <c r="Q163" t="s">
        <v>50</v>
      </c>
      <c r="R163" t="s">
        <v>28</v>
      </c>
      <c r="S163">
        <v>3</v>
      </c>
    </row>
    <row r="164" spans="1:19">
      <c r="A164" t="s">
        <v>430</v>
      </c>
      <c r="B164" s="2">
        <v>45964</v>
      </c>
      <c r="C164" t="s">
        <v>175</v>
      </c>
      <c r="D164" t="s">
        <v>176</v>
      </c>
      <c r="E164" t="s">
        <v>32</v>
      </c>
      <c r="F164">
        <v>29</v>
      </c>
      <c r="G164" t="s">
        <v>60</v>
      </c>
      <c r="H164" t="s">
        <v>61</v>
      </c>
      <c r="I164" t="s">
        <v>35</v>
      </c>
      <c r="J164" t="s">
        <v>108</v>
      </c>
      <c r="K164">
        <v>4</v>
      </c>
      <c r="L164">
        <v>699</v>
      </c>
      <c r="M164" s="3">
        <v>0.2</v>
      </c>
      <c r="N164">
        <v>2236.8000000000002</v>
      </c>
      <c r="O164">
        <v>1520</v>
      </c>
      <c r="P164">
        <v>716.8</v>
      </c>
      <c r="Q164" t="s">
        <v>66</v>
      </c>
      <c r="R164" t="s">
        <v>137</v>
      </c>
      <c r="S164">
        <v>3</v>
      </c>
    </row>
    <row r="165" spans="1:19">
      <c r="A165" t="s">
        <v>431</v>
      </c>
      <c r="B165" s="2">
        <v>46255</v>
      </c>
      <c r="C165" t="s">
        <v>247</v>
      </c>
      <c r="D165" t="s">
        <v>248</v>
      </c>
      <c r="E165" t="s">
        <v>32</v>
      </c>
      <c r="F165">
        <v>35</v>
      </c>
      <c r="G165" t="s">
        <v>33</v>
      </c>
      <c r="H165" t="s">
        <v>34</v>
      </c>
      <c r="I165" t="s">
        <v>117</v>
      </c>
      <c r="J165" t="s">
        <v>118</v>
      </c>
      <c r="K165">
        <v>1</v>
      </c>
      <c r="L165">
        <v>999</v>
      </c>
      <c r="M165" s="3">
        <v>0.15</v>
      </c>
      <c r="N165">
        <v>849.15</v>
      </c>
      <c r="O165">
        <v>550</v>
      </c>
      <c r="P165">
        <v>299.14999999999998</v>
      </c>
      <c r="Q165" t="s">
        <v>37</v>
      </c>
      <c r="R165" t="s">
        <v>137</v>
      </c>
      <c r="S165">
        <v>1</v>
      </c>
    </row>
    <row r="166" spans="1:19">
      <c r="A166" t="s">
        <v>432</v>
      </c>
      <c r="B166" s="2">
        <v>46255</v>
      </c>
      <c r="C166" t="s">
        <v>433</v>
      </c>
      <c r="D166" t="s">
        <v>92</v>
      </c>
      <c r="E166" t="s">
        <v>32</v>
      </c>
      <c r="F166">
        <v>28</v>
      </c>
      <c r="G166" t="s">
        <v>93</v>
      </c>
      <c r="H166" t="s">
        <v>94</v>
      </c>
      <c r="I166" t="s">
        <v>43</v>
      </c>
      <c r="J166" t="s">
        <v>197</v>
      </c>
      <c r="K166">
        <v>2</v>
      </c>
      <c r="L166">
        <v>1799</v>
      </c>
      <c r="M166" s="3">
        <v>0</v>
      </c>
      <c r="N166">
        <v>3598</v>
      </c>
      <c r="O166">
        <v>2100</v>
      </c>
      <c r="P166">
        <v>1498</v>
      </c>
      <c r="Q166" t="s">
        <v>66</v>
      </c>
      <c r="R166" t="s">
        <v>28</v>
      </c>
      <c r="S166">
        <v>5</v>
      </c>
    </row>
    <row r="167" spans="1:19">
      <c r="A167" t="s">
        <v>434</v>
      </c>
      <c r="B167" s="2">
        <v>46244</v>
      </c>
      <c r="C167" t="s">
        <v>192</v>
      </c>
      <c r="D167" t="s">
        <v>193</v>
      </c>
      <c r="E167" t="s">
        <v>32</v>
      </c>
      <c r="F167">
        <v>47</v>
      </c>
      <c r="G167" t="s">
        <v>93</v>
      </c>
      <c r="H167" t="s">
        <v>94</v>
      </c>
      <c r="I167" t="s">
        <v>25</v>
      </c>
      <c r="J167" t="s">
        <v>62</v>
      </c>
      <c r="K167">
        <v>2</v>
      </c>
      <c r="L167">
        <v>1299</v>
      </c>
      <c r="M167" s="3">
        <v>0</v>
      </c>
      <c r="N167">
        <v>2598</v>
      </c>
      <c r="O167">
        <v>1600</v>
      </c>
      <c r="P167">
        <v>998</v>
      </c>
      <c r="Q167" t="s">
        <v>69</v>
      </c>
      <c r="R167" t="s">
        <v>28</v>
      </c>
      <c r="S167">
        <v>4</v>
      </c>
    </row>
    <row r="168" spans="1:19">
      <c r="A168" t="s">
        <v>435</v>
      </c>
      <c r="B168" s="2">
        <v>45866</v>
      </c>
      <c r="C168" t="s">
        <v>436</v>
      </c>
      <c r="D168" t="s">
        <v>437</v>
      </c>
      <c r="E168" t="s">
        <v>32</v>
      </c>
      <c r="F168">
        <v>44</v>
      </c>
      <c r="G168" t="s">
        <v>73</v>
      </c>
      <c r="H168" t="s">
        <v>74</v>
      </c>
      <c r="I168" t="s">
        <v>163</v>
      </c>
      <c r="J168" t="s">
        <v>234</v>
      </c>
      <c r="K168">
        <v>2</v>
      </c>
      <c r="L168">
        <v>999</v>
      </c>
      <c r="M168" s="3">
        <v>0.15</v>
      </c>
      <c r="N168">
        <v>1698.3</v>
      </c>
      <c r="O168">
        <v>1200</v>
      </c>
      <c r="P168">
        <v>498.3</v>
      </c>
      <c r="Q168" t="s">
        <v>66</v>
      </c>
      <c r="R168" t="s">
        <v>28</v>
      </c>
      <c r="S168">
        <v>5</v>
      </c>
    </row>
    <row r="169" spans="1:19">
      <c r="A169" t="s">
        <v>438</v>
      </c>
      <c r="B169" s="2">
        <v>46189</v>
      </c>
      <c r="C169" t="s">
        <v>224</v>
      </c>
      <c r="D169" t="s">
        <v>225</v>
      </c>
      <c r="E169" t="s">
        <v>32</v>
      </c>
      <c r="F169">
        <v>19</v>
      </c>
      <c r="G169" t="s">
        <v>33</v>
      </c>
      <c r="H169" t="s">
        <v>34</v>
      </c>
      <c r="I169" t="s">
        <v>117</v>
      </c>
      <c r="J169" t="s">
        <v>152</v>
      </c>
      <c r="K169">
        <v>1</v>
      </c>
      <c r="L169">
        <v>899</v>
      </c>
      <c r="M169" s="3">
        <v>0.05</v>
      </c>
      <c r="N169">
        <v>854.05</v>
      </c>
      <c r="O169">
        <v>500</v>
      </c>
      <c r="P169">
        <v>354.05</v>
      </c>
      <c r="Q169" t="s">
        <v>27</v>
      </c>
      <c r="R169" t="s">
        <v>28</v>
      </c>
      <c r="S169">
        <v>4</v>
      </c>
    </row>
    <row r="170" spans="1:19">
      <c r="A170" t="s">
        <v>439</v>
      </c>
      <c r="B170" s="2">
        <v>46128</v>
      </c>
      <c r="C170" t="s">
        <v>369</v>
      </c>
      <c r="D170" t="s">
        <v>370</v>
      </c>
      <c r="E170" t="s">
        <v>22</v>
      </c>
      <c r="F170">
        <v>37</v>
      </c>
      <c r="G170" t="s">
        <v>81</v>
      </c>
      <c r="H170" t="s">
        <v>82</v>
      </c>
      <c r="I170" t="s">
        <v>163</v>
      </c>
      <c r="J170" t="s">
        <v>290</v>
      </c>
      <c r="K170">
        <v>3</v>
      </c>
      <c r="L170">
        <v>1999</v>
      </c>
      <c r="M170" s="3">
        <v>0.05</v>
      </c>
      <c r="N170">
        <v>5697.15</v>
      </c>
      <c r="O170">
        <v>3600</v>
      </c>
      <c r="P170">
        <v>2097.15</v>
      </c>
      <c r="Q170" t="s">
        <v>50</v>
      </c>
      <c r="R170" t="s">
        <v>28</v>
      </c>
      <c r="S170">
        <v>3</v>
      </c>
    </row>
    <row r="171" spans="1:19">
      <c r="A171" t="s">
        <v>440</v>
      </c>
      <c r="B171" s="2">
        <v>45910</v>
      </c>
      <c r="C171" t="s">
        <v>393</v>
      </c>
      <c r="D171" t="s">
        <v>394</v>
      </c>
      <c r="E171" t="s">
        <v>22</v>
      </c>
      <c r="F171">
        <v>26</v>
      </c>
      <c r="G171" t="s">
        <v>41</v>
      </c>
      <c r="H171" t="s">
        <v>42</v>
      </c>
      <c r="I171" t="s">
        <v>75</v>
      </c>
      <c r="J171" t="s">
        <v>106</v>
      </c>
      <c r="K171">
        <v>4</v>
      </c>
      <c r="L171">
        <v>899</v>
      </c>
      <c r="M171" s="3">
        <v>0.05</v>
      </c>
      <c r="N171">
        <v>3416.2</v>
      </c>
      <c r="O171">
        <v>2400</v>
      </c>
      <c r="P171">
        <v>1016.2</v>
      </c>
      <c r="Q171" t="s">
        <v>37</v>
      </c>
      <c r="R171" t="s">
        <v>28</v>
      </c>
      <c r="S171">
        <v>2</v>
      </c>
    </row>
    <row r="172" spans="1:19">
      <c r="A172" t="s">
        <v>441</v>
      </c>
      <c r="B172" s="2">
        <v>45982</v>
      </c>
      <c r="C172" t="s">
        <v>84</v>
      </c>
      <c r="D172" t="s">
        <v>85</v>
      </c>
      <c r="E172" t="s">
        <v>32</v>
      </c>
      <c r="F172">
        <v>20</v>
      </c>
      <c r="G172" t="s">
        <v>41</v>
      </c>
      <c r="H172" t="s">
        <v>42</v>
      </c>
      <c r="I172" t="s">
        <v>43</v>
      </c>
      <c r="J172" t="s">
        <v>44</v>
      </c>
      <c r="K172">
        <v>2</v>
      </c>
      <c r="L172">
        <v>1599</v>
      </c>
      <c r="M172" s="3">
        <v>0.15</v>
      </c>
      <c r="N172">
        <v>2718.3</v>
      </c>
      <c r="O172">
        <v>1900</v>
      </c>
      <c r="P172">
        <v>818.3</v>
      </c>
      <c r="Q172" t="s">
        <v>66</v>
      </c>
      <c r="R172" t="s">
        <v>28</v>
      </c>
      <c r="S172">
        <v>3</v>
      </c>
    </row>
    <row r="173" spans="1:19">
      <c r="A173" t="s">
        <v>442</v>
      </c>
      <c r="B173" s="2">
        <v>46011</v>
      </c>
      <c r="C173" t="s">
        <v>134</v>
      </c>
      <c r="D173" t="s">
        <v>135</v>
      </c>
      <c r="E173" t="s">
        <v>32</v>
      </c>
      <c r="F173">
        <v>53</v>
      </c>
      <c r="G173" t="s">
        <v>23</v>
      </c>
      <c r="H173" t="s">
        <v>24</v>
      </c>
      <c r="I173" t="s">
        <v>25</v>
      </c>
      <c r="J173" t="s">
        <v>56</v>
      </c>
      <c r="K173">
        <v>4</v>
      </c>
      <c r="L173">
        <v>899</v>
      </c>
      <c r="M173" s="3">
        <v>0.15</v>
      </c>
      <c r="N173">
        <v>3056.6</v>
      </c>
      <c r="O173">
        <v>2200</v>
      </c>
      <c r="P173">
        <v>856.6</v>
      </c>
      <c r="Q173" t="s">
        <v>27</v>
      </c>
      <c r="R173" t="s">
        <v>28</v>
      </c>
      <c r="S173">
        <v>3</v>
      </c>
    </row>
    <row r="174" spans="1:19">
      <c r="A174" t="s">
        <v>443</v>
      </c>
      <c r="B174" s="2">
        <v>46148</v>
      </c>
      <c r="C174" t="s">
        <v>295</v>
      </c>
      <c r="D174" t="s">
        <v>296</v>
      </c>
      <c r="E174" t="s">
        <v>22</v>
      </c>
      <c r="F174">
        <v>33</v>
      </c>
      <c r="G174" t="s">
        <v>41</v>
      </c>
      <c r="H174" t="s">
        <v>42</v>
      </c>
      <c r="I174" t="s">
        <v>163</v>
      </c>
      <c r="J174" t="s">
        <v>214</v>
      </c>
      <c r="K174">
        <v>4</v>
      </c>
      <c r="L174">
        <v>1499</v>
      </c>
      <c r="M174" s="3">
        <v>0.1</v>
      </c>
      <c r="N174">
        <v>5396.4</v>
      </c>
      <c r="O174">
        <v>3600</v>
      </c>
      <c r="P174">
        <v>1796.4</v>
      </c>
      <c r="Q174" t="s">
        <v>27</v>
      </c>
      <c r="R174" t="s">
        <v>28</v>
      </c>
      <c r="S174">
        <v>5</v>
      </c>
    </row>
    <row r="175" spans="1:19">
      <c r="A175" t="s">
        <v>444</v>
      </c>
      <c r="B175" s="2">
        <v>45769</v>
      </c>
      <c r="C175" t="s">
        <v>39</v>
      </c>
      <c r="D175" t="s">
        <v>40</v>
      </c>
      <c r="E175" t="s">
        <v>22</v>
      </c>
      <c r="F175">
        <v>39</v>
      </c>
      <c r="G175" t="s">
        <v>41</v>
      </c>
      <c r="H175" t="s">
        <v>42</v>
      </c>
      <c r="I175" t="s">
        <v>35</v>
      </c>
      <c r="J175" t="s">
        <v>126</v>
      </c>
      <c r="K175">
        <v>3</v>
      </c>
      <c r="L175">
        <v>1499</v>
      </c>
      <c r="M175" s="3">
        <v>0.05</v>
      </c>
      <c r="N175">
        <v>4272.1499999999996</v>
      </c>
      <c r="O175">
        <v>2550</v>
      </c>
      <c r="P175">
        <v>1722.15</v>
      </c>
      <c r="Q175" t="s">
        <v>50</v>
      </c>
      <c r="R175" t="s">
        <v>28</v>
      </c>
      <c r="S175">
        <v>2</v>
      </c>
    </row>
    <row r="176" spans="1:19">
      <c r="A176" t="s">
        <v>445</v>
      </c>
      <c r="B176" s="2">
        <v>45711</v>
      </c>
      <c r="C176" t="s">
        <v>189</v>
      </c>
      <c r="D176" t="s">
        <v>190</v>
      </c>
      <c r="E176" t="s">
        <v>32</v>
      </c>
      <c r="F176">
        <v>22</v>
      </c>
      <c r="G176" t="s">
        <v>115</v>
      </c>
      <c r="H176" t="s">
        <v>116</v>
      </c>
      <c r="I176" t="s">
        <v>25</v>
      </c>
      <c r="J176" t="s">
        <v>68</v>
      </c>
      <c r="K176">
        <v>2</v>
      </c>
      <c r="L176">
        <v>2999</v>
      </c>
      <c r="M176" s="3">
        <v>0.05</v>
      </c>
      <c r="N176">
        <v>5698.1</v>
      </c>
      <c r="O176">
        <v>3800</v>
      </c>
      <c r="P176">
        <v>1898.1</v>
      </c>
      <c r="Q176" t="s">
        <v>69</v>
      </c>
      <c r="R176" t="s">
        <v>28</v>
      </c>
      <c r="S176">
        <v>4</v>
      </c>
    </row>
    <row r="177" spans="1:19">
      <c r="A177" t="s">
        <v>446</v>
      </c>
      <c r="B177" s="2">
        <v>46221</v>
      </c>
      <c r="C177" t="s">
        <v>240</v>
      </c>
      <c r="D177" t="s">
        <v>241</v>
      </c>
      <c r="E177" t="s">
        <v>32</v>
      </c>
      <c r="F177">
        <v>51</v>
      </c>
      <c r="G177" t="s">
        <v>81</v>
      </c>
      <c r="H177" t="s">
        <v>82</v>
      </c>
      <c r="I177" t="s">
        <v>117</v>
      </c>
      <c r="J177" t="s">
        <v>118</v>
      </c>
      <c r="K177">
        <v>2</v>
      </c>
      <c r="L177">
        <v>999</v>
      </c>
      <c r="M177" s="3">
        <v>0</v>
      </c>
      <c r="N177">
        <v>1998</v>
      </c>
      <c r="O177">
        <v>1100</v>
      </c>
      <c r="P177">
        <v>898</v>
      </c>
      <c r="Q177" t="s">
        <v>27</v>
      </c>
      <c r="R177" t="s">
        <v>28</v>
      </c>
      <c r="S177">
        <v>4</v>
      </c>
    </row>
    <row r="178" spans="1:19">
      <c r="A178" t="s">
        <v>447</v>
      </c>
      <c r="B178" s="2">
        <v>45986</v>
      </c>
      <c r="C178" t="s">
        <v>448</v>
      </c>
      <c r="D178" t="s">
        <v>449</v>
      </c>
      <c r="E178" t="s">
        <v>22</v>
      </c>
      <c r="F178">
        <v>43</v>
      </c>
      <c r="G178" t="s">
        <v>81</v>
      </c>
      <c r="H178" t="s">
        <v>82</v>
      </c>
      <c r="I178" t="s">
        <v>75</v>
      </c>
      <c r="J178" t="s">
        <v>76</v>
      </c>
      <c r="K178">
        <v>2</v>
      </c>
      <c r="L178">
        <v>399</v>
      </c>
      <c r="M178" s="3">
        <v>0.1</v>
      </c>
      <c r="N178">
        <v>718.2</v>
      </c>
      <c r="O178">
        <v>440</v>
      </c>
      <c r="P178">
        <v>278.2</v>
      </c>
      <c r="Q178" t="s">
        <v>37</v>
      </c>
      <c r="R178" t="s">
        <v>28</v>
      </c>
      <c r="S178">
        <v>1</v>
      </c>
    </row>
    <row r="179" spans="1:19">
      <c r="A179" t="s">
        <v>450</v>
      </c>
      <c r="B179" s="2">
        <v>46085</v>
      </c>
      <c r="C179" t="s">
        <v>283</v>
      </c>
      <c r="D179" t="s">
        <v>284</v>
      </c>
      <c r="E179" t="s">
        <v>32</v>
      </c>
      <c r="F179">
        <v>39</v>
      </c>
      <c r="G179" t="s">
        <v>55</v>
      </c>
      <c r="H179" t="s">
        <v>34</v>
      </c>
      <c r="I179" t="s">
        <v>43</v>
      </c>
      <c r="J179" t="s">
        <v>281</v>
      </c>
      <c r="K179">
        <v>1</v>
      </c>
      <c r="L179">
        <v>2999</v>
      </c>
      <c r="M179" s="3">
        <v>0.05</v>
      </c>
      <c r="N179">
        <v>2849.05</v>
      </c>
      <c r="O179">
        <v>1800</v>
      </c>
      <c r="P179">
        <v>1049.05</v>
      </c>
      <c r="Q179" t="s">
        <v>27</v>
      </c>
      <c r="R179" t="s">
        <v>77</v>
      </c>
      <c r="S179">
        <v>1</v>
      </c>
    </row>
    <row r="180" spans="1:19">
      <c r="A180" t="s">
        <v>451</v>
      </c>
      <c r="B180" s="2">
        <v>45696</v>
      </c>
      <c r="C180" t="s">
        <v>220</v>
      </c>
      <c r="D180" t="s">
        <v>221</v>
      </c>
      <c r="E180" t="s">
        <v>22</v>
      </c>
      <c r="F180">
        <v>27</v>
      </c>
      <c r="G180" t="s">
        <v>141</v>
      </c>
      <c r="H180" t="s">
        <v>142</v>
      </c>
      <c r="I180" t="s">
        <v>35</v>
      </c>
      <c r="J180" t="s">
        <v>36</v>
      </c>
      <c r="K180">
        <v>2</v>
      </c>
      <c r="L180">
        <v>599</v>
      </c>
      <c r="M180" s="3">
        <v>0.1</v>
      </c>
      <c r="N180">
        <v>1078.2</v>
      </c>
      <c r="O180">
        <v>640</v>
      </c>
      <c r="P180">
        <v>438.2</v>
      </c>
      <c r="Q180" t="s">
        <v>69</v>
      </c>
      <c r="R180" t="s">
        <v>28</v>
      </c>
      <c r="S180">
        <v>5</v>
      </c>
    </row>
    <row r="181" spans="1:19">
      <c r="A181" t="s">
        <v>452</v>
      </c>
      <c r="B181" s="2">
        <v>46214</v>
      </c>
      <c r="C181" t="s">
        <v>453</v>
      </c>
      <c r="D181" t="s">
        <v>454</v>
      </c>
      <c r="E181" t="s">
        <v>32</v>
      </c>
      <c r="F181">
        <v>25</v>
      </c>
      <c r="G181" t="s">
        <v>141</v>
      </c>
      <c r="H181" t="s">
        <v>142</v>
      </c>
      <c r="I181" t="s">
        <v>163</v>
      </c>
      <c r="J181" t="s">
        <v>164</v>
      </c>
      <c r="K181">
        <v>3</v>
      </c>
      <c r="L181">
        <v>3499</v>
      </c>
      <c r="M181" s="3">
        <v>0.15</v>
      </c>
      <c r="N181">
        <v>8922.4500000000007</v>
      </c>
      <c r="O181">
        <v>6600</v>
      </c>
      <c r="P181">
        <v>2322.4499999999998</v>
      </c>
      <c r="Q181" t="s">
        <v>50</v>
      </c>
      <c r="R181" t="s">
        <v>28</v>
      </c>
      <c r="S181">
        <v>2</v>
      </c>
    </row>
    <row r="182" spans="1:19">
      <c r="A182" t="s">
        <v>455</v>
      </c>
      <c r="B182" s="2">
        <v>45773</v>
      </c>
      <c r="C182" t="s">
        <v>326</v>
      </c>
      <c r="D182" t="s">
        <v>327</v>
      </c>
      <c r="E182" t="s">
        <v>22</v>
      </c>
      <c r="F182">
        <v>33</v>
      </c>
      <c r="G182" t="s">
        <v>141</v>
      </c>
      <c r="H182" t="s">
        <v>142</v>
      </c>
      <c r="I182" t="s">
        <v>35</v>
      </c>
      <c r="J182" t="s">
        <v>136</v>
      </c>
      <c r="K182">
        <v>3</v>
      </c>
      <c r="L182">
        <v>799</v>
      </c>
      <c r="M182" s="3">
        <v>0.05</v>
      </c>
      <c r="N182">
        <v>2277.15</v>
      </c>
      <c r="O182">
        <v>1350</v>
      </c>
      <c r="P182">
        <v>927.15</v>
      </c>
      <c r="Q182" t="s">
        <v>37</v>
      </c>
      <c r="R182" t="s">
        <v>28</v>
      </c>
      <c r="S182">
        <v>4</v>
      </c>
    </row>
    <row r="183" spans="1:19">
      <c r="A183" t="s">
        <v>456</v>
      </c>
      <c r="B183" s="2">
        <v>46003</v>
      </c>
      <c r="C183" t="s">
        <v>273</v>
      </c>
      <c r="D183" t="s">
        <v>274</v>
      </c>
      <c r="E183" t="s">
        <v>22</v>
      </c>
      <c r="F183">
        <v>41</v>
      </c>
      <c r="G183" t="s">
        <v>105</v>
      </c>
      <c r="H183" t="s">
        <v>105</v>
      </c>
      <c r="I183" t="s">
        <v>117</v>
      </c>
      <c r="J183" t="s">
        <v>238</v>
      </c>
      <c r="K183">
        <v>2</v>
      </c>
      <c r="L183">
        <v>2499</v>
      </c>
      <c r="M183" s="3">
        <v>0</v>
      </c>
      <c r="N183">
        <v>4998</v>
      </c>
      <c r="O183">
        <v>3000</v>
      </c>
      <c r="P183">
        <v>1998</v>
      </c>
      <c r="Q183" t="s">
        <v>37</v>
      </c>
      <c r="R183" t="s">
        <v>28</v>
      </c>
      <c r="S183">
        <v>2</v>
      </c>
    </row>
    <row r="184" spans="1:19">
      <c r="A184" t="s">
        <v>457</v>
      </c>
      <c r="B184" s="2">
        <v>46185</v>
      </c>
      <c r="C184" t="s">
        <v>458</v>
      </c>
      <c r="D184" t="s">
        <v>459</v>
      </c>
      <c r="E184" t="s">
        <v>32</v>
      </c>
      <c r="F184">
        <v>40</v>
      </c>
      <c r="G184" t="s">
        <v>60</v>
      </c>
      <c r="H184" t="s">
        <v>61</v>
      </c>
      <c r="I184" t="s">
        <v>75</v>
      </c>
      <c r="J184" t="s">
        <v>106</v>
      </c>
      <c r="K184">
        <v>4</v>
      </c>
      <c r="L184">
        <v>899</v>
      </c>
      <c r="M184" s="3">
        <v>0.15</v>
      </c>
      <c r="N184">
        <v>3056.6</v>
      </c>
      <c r="O184">
        <v>2400</v>
      </c>
      <c r="P184">
        <v>656.6</v>
      </c>
      <c r="Q184" t="s">
        <v>37</v>
      </c>
      <c r="R184" t="s">
        <v>28</v>
      </c>
      <c r="S184">
        <v>1</v>
      </c>
    </row>
    <row r="185" spans="1:19">
      <c r="A185" t="s">
        <v>460</v>
      </c>
      <c r="B185" s="2">
        <v>45912</v>
      </c>
      <c r="C185" t="s">
        <v>46</v>
      </c>
      <c r="D185" t="s">
        <v>47</v>
      </c>
      <c r="E185" t="s">
        <v>32</v>
      </c>
      <c r="F185">
        <v>26</v>
      </c>
      <c r="G185" t="s">
        <v>48</v>
      </c>
      <c r="H185" t="s">
        <v>42</v>
      </c>
      <c r="I185" t="s">
        <v>25</v>
      </c>
      <c r="J185" t="s">
        <v>62</v>
      </c>
      <c r="K185">
        <v>4</v>
      </c>
      <c r="L185">
        <v>1299</v>
      </c>
      <c r="M185" s="3">
        <v>0.1</v>
      </c>
      <c r="N185">
        <v>4676.3999999999996</v>
      </c>
      <c r="O185">
        <v>3200</v>
      </c>
      <c r="P185">
        <v>1476.4</v>
      </c>
      <c r="Q185" t="s">
        <v>69</v>
      </c>
      <c r="R185" t="s">
        <v>28</v>
      </c>
      <c r="S185">
        <v>2</v>
      </c>
    </row>
    <row r="186" spans="1:19">
      <c r="A186" t="s">
        <v>461</v>
      </c>
      <c r="B186" s="2">
        <v>46254</v>
      </c>
      <c r="C186" t="s">
        <v>317</v>
      </c>
      <c r="D186" t="s">
        <v>318</v>
      </c>
      <c r="E186" t="s">
        <v>22</v>
      </c>
      <c r="F186">
        <v>31</v>
      </c>
      <c r="G186" t="s">
        <v>33</v>
      </c>
      <c r="H186" t="s">
        <v>34</v>
      </c>
      <c r="I186" t="s">
        <v>43</v>
      </c>
      <c r="J186" t="s">
        <v>197</v>
      </c>
      <c r="K186">
        <v>3</v>
      </c>
      <c r="L186">
        <v>1799</v>
      </c>
      <c r="M186" s="3">
        <v>0.1</v>
      </c>
      <c r="N186">
        <v>4857.3</v>
      </c>
      <c r="O186">
        <v>3150</v>
      </c>
      <c r="P186">
        <v>1707.3</v>
      </c>
      <c r="Q186" t="s">
        <v>50</v>
      </c>
      <c r="R186" t="s">
        <v>28</v>
      </c>
      <c r="S186">
        <v>3</v>
      </c>
    </row>
    <row r="187" spans="1:19">
      <c r="A187" t="s">
        <v>462</v>
      </c>
      <c r="B187" s="2">
        <v>45972</v>
      </c>
      <c r="C187" t="s">
        <v>463</v>
      </c>
      <c r="D187" t="s">
        <v>391</v>
      </c>
      <c r="E187" t="s">
        <v>32</v>
      </c>
      <c r="F187">
        <v>34</v>
      </c>
      <c r="G187" t="s">
        <v>81</v>
      </c>
      <c r="H187" t="s">
        <v>82</v>
      </c>
      <c r="I187" t="s">
        <v>25</v>
      </c>
      <c r="J187" t="s">
        <v>68</v>
      </c>
      <c r="K187">
        <v>1</v>
      </c>
      <c r="L187">
        <v>2999</v>
      </c>
      <c r="M187" s="3">
        <v>0.15</v>
      </c>
      <c r="N187">
        <v>2549.15</v>
      </c>
      <c r="O187">
        <v>1900</v>
      </c>
      <c r="P187">
        <v>649.15</v>
      </c>
      <c r="Q187" t="s">
        <v>27</v>
      </c>
      <c r="R187" t="s">
        <v>28</v>
      </c>
      <c r="S187">
        <v>5</v>
      </c>
    </row>
    <row r="188" spans="1:19">
      <c r="A188" t="s">
        <v>464</v>
      </c>
      <c r="B188" s="2">
        <v>46034</v>
      </c>
      <c r="C188" t="s">
        <v>139</v>
      </c>
      <c r="D188" t="s">
        <v>140</v>
      </c>
      <c r="E188" t="s">
        <v>22</v>
      </c>
      <c r="F188">
        <v>44</v>
      </c>
      <c r="G188" t="s">
        <v>141</v>
      </c>
      <c r="H188" t="s">
        <v>142</v>
      </c>
      <c r="I188" t="s">
        <v>117</v>
      </c>
      <c r="J188" t="s">
        <v>238</v>
      </c>
      <c r="K188">
        <v>1</v>
      </c>
      <c r="L188">
        <v>2499</v>
      </c>
      <c r="M188" s="3">
        <v>0.1</v>
      </c>
      <c r="N188">
        <v>2249.1</v>
      </c>
      <c r="O188">
        <v>1500</v>
      </c>
      <c r="P188">
        <v>749.1</v>
      </c>
      <c r="Q188" t="s">
        <v>50</v>
      </c>
      <c r="R188" t="s">
        <v>28</v>
      </c>
      <c r="S188">
        <v>2</v>
      </c>
    </row>
    <row r="189" spans="1:19">
      <c r="A189" t="s">
        <v>465</v>
      </c>
      <c r="B189" s="2">
        <v>46040</v>
      </c>
      <c r="C189" t="s">
        <v>448</v>
      </c>
      <c r="D189" t="s">
        <v>449</v>
      </c>
      <c r="E189" t="s">
        <v>22</v>
      </c>
      <c r="F189">
        <v>43</v>
      </c>
      <c r="G189" t="s">
        <v>81</v>
      </c>
      <c r="H189" t="s">
        <v>82</v>
      </c>
      <c r="I189" t="s">
        <v>25</v>
      </c>
      <c r="J189" t="s">
        <v>62</v>
      </c>
      <c r="K189">
        <v>4</v>
      </c>
      <c r="L189">
        <v>1299</v>
      </c>
      <c r="M189" s="3">
        <v>0.2</v>
      </c>
      <c r="N189">
        <v>4156.8</v>
      </c>
      <c r="O189">
        <v>3200</v>
      </c>
      <c r="P189">
        <v>956.8</v>
      </c>
      <c r="Q189" t="s">
        <v>66</v>
      </c>
      <c r="R189" t="s">
        <v>28</v>
      </c>
      <c r="S189">
        <v>4</v>
      </c>
    </row>
    <row r="190" spans="1:19">
      <c r="A190" t="s">
        <v>466</v>
      </c>
      <c r="B190" s="2">
        <v>45741</v>
      </c>
      <c r="C190" t="s">
        <v>467</v>
      </c>
      <c r="D190" t="s">
        <v>322</v>
      </c>
      <c r="E190" t="s">
        <v>32</v>
      </c>
      <c r="F190">
        <v>41</v>
      </c>
      <c r="G190" t="s">
        <v>55</v>
      </c>
      <c r="H190" t="s">
        <v>34</v>
      </c>
      <c r="I190" t="s">
        <v>117</v>
      </c>
      <c r="J190" t="s">
        <v>118</v>
      </c>
      <c r="K190">
        <v>2</v>
      </c>
      <c r="L190">
        <v>999</v>
      </c>
      <c r="M190" s="3">
        <v>0.05</v>
      </c>
      <c r="N190">
        <v>1898.1</v>
      </c>
      <c r="O190">
        <v>1100</v>
      </c>
      <c r="P190">
        <v>798.1</v>
      </c>
      <c r="Q190" t="s">
        <v>50</v>
      </c>
      <c r="R190" t="s">
        <v>28</v>
      </c>
      <c r="S190">
        <v>3</v>
      </c>
    </row>
    <row r="191" spans="1:19">
      <c r="A191" t="s">
        <v>468</v>
      </c>
      <c r="B191" s="2">
        <v>46218</v>
      </c>
      <c r="C191" t="s">
        <v>91</v>
      </c>
      <c r="D191" t="s">
        <v>92</v>
      </c>
      <c r="E191" t="s">
        <v>32</v>
      </c>
      <c r="F191">
        <v>43</v>
      </c>
      <c r="G191" t="s">
        <v>93</v>
      </c>
      <c r="H191" t="s">
        <v>94</v>
      </c>
      <c r="I191" t="s">
        <v>75</v>
      </c>
      <c r="J191" t="s">
        <v>86</v>
      </c>
      <c r="K191">
        <v>1</v>
      </c>
      <c r="L191">
        <v>499</v>
      </c>
      <c r="M191" s="3">
        <v>0</v>
      </c>
      <c r="N191">
        <v>499</v>
      </c>
      <c r="O191">
        <v>300</v>
      </c>
      <c r="P191">
        <v>199</v>
      </c>
      <c r="Q191" t="s">
        <v>50</v>
      </c>
      <c r="R191" t="s">
        <v>28</v>
      </c>
      <c r="S191">
        <v>5</v>
      </c>
    </row>
    <row r="192" spans="1:19">
      <c r="A192" t="s">
        <v>469</v>
      </c>
      <c r="B192" s="2">
        <v>46110</v>
      </c>
      <c r="C192" t="s">
        <v>158</v>
      </c>
      <c r="D192" t="s">
        <v>159</v>
      </c>
      <c r="E192" t="s">
        <v>32</v>
      </c>
      <c r="F192">
        <v>19</v>
      </c>
      <c r="G192" t="s">
        <v>60</v>
      </c>
      <c r="H192" t="s">
        <v>61</v>
      </c>
      <c r="I192" t="s">
        <v>43</v>
      </c>
      <c r="J192" t="s">
        <v>95</v>
      </c>
      <c r="K192">
        <v>3</v>
      </c>
      <c r="L192">
        <v>2499</v>
      </c>
      <c r="M192" s="3">
        <v>0.2</v>
      </c>
      <c r="N192">
        <v>5997.6</v>
      </c>
      <c r="O192">
        <v>4500</v>
      </c>
      <c r="P192">
        <v>1497.6</v>
      </c>
      <c r="Q192" t="s">
        <v>69</v>
      </c>
      <c r="R192" t="s">
        <v>28</v>
      </c>
      <c r="S192">
        <v>5</v>
      </c>
    </row>
    <row r="193" spans="1:19">
      <c r="A193" t="s">
        <v>470</v>
      </c>
      <c r="B193" s="2">
        <v>46122</v>
      </c>
      <c r="C193" t="s">
        <v>64</v>
      </c>
      <c r="D193" t="s">
        <v>65</v>
      </c>
      <c r="E193" t="s">
        <v>32</v>
      </c>
      <c r="F193">
        <v>31</v>
      </c>
      <c r="G193" t="s">
        <v>33</v>
      </c>
      <c r="H193" t="s">
        <v>34</v>
      </c>
      <c r="I193" t="s">
        <v>25</v>
      </c>
      <c r="J193" t="s">
        <v>26</v>
      </c>
      <c r="K193">
        <v>4</v>
      </c>
      <c r="L193">
        <v>2499</v>
      </c>
      <c r="M193" s="3">
        <v>0</v>
      </c>
      <c r="N193">
        <v>9996</v>
      </c>
      <c r="O193">
        <v>6400</v>
      </c>
      <c r="P193">
        <v>3596</v>
      </c>
      <c r="Q193" t="s">
        <v>27</v>
      </c>
      <c r="R193" t="s">
        <v>28</v>
      </c>
      <c r="S193">
        <v>4</v>
      </c>
    </row>
    <row r="194" spans="1:19">
      <c r="A194" t="s">
        <v>471</v>
      </c>
      <c r="B194" s="2">
        <v>45680</v>
      </c>
      <c r="C194" t="s">
        <v>287</v>
      </c>
      <c r="D194" t="s">
        <v>190</v>
      </c>
      <c r="E194" t="s">
        <v>32</v>
      </c>
      <c r="F194">
        <v>39</v>
      </c>
      <c r="G194" t="s">
        <v>81</v>
      </c>
      <c r="H194" t="s">
        <v>82</v>
      </c>
      <c r="I194" t="s">
        <v>25</v>
      </c>
      <c r="J194" t="s">
        <v>68</v>
      </c>
      <c r="K194">
        <v>4</v>
      </c>
      <c r="L194">
        <v>2999</v>
      </c>
      <c r="M194" s="3">
        <v>0.1</v>
      </c>
      <c r="N194">
        <v>10796.4</v>
      </c>
      <c r="O194">
        <v>7600</v>
      </c>
      <c r="P194">
        <v>3196.4</v>
      </c>
      <c r="Q194" t="s">
        <v>66</v>
      </c>
      <c r="R194" t="s">
        <v>28</v>
      </c>
      <c r="S194">
        <v>1</v>
      </c>
    </row>
    <row r="195" spans="1:19">
      <c r="A195" t="s">
        <v>472</v>
      </c>
      <c r="B195" s="2">
        <v>46091</v>
      </c>
      <c r="C195" t="s">
        <v>289</v>
      </c>
      <c r="D195" t="s">
        <v>121</v>
      </c>
      <c r="E195" t="s">
        <v>22</v>
      </c>
      <c r="F195">
        <v>38</v>
      </c>
      <c r="G195" t="s">
        <v>73</v>
      </c>
      <c r="H195" t="s">
        <v>74</v>
      </c>
      <c r="I195" t="s">
        <v>75</v>
      </c>
      <c r="J195" t="s">
        <v>86</v>
      </c>
      <c r="K195">
        <v>1</v>
      </c>
      <c r="L195">
        <v>499</v>
      </c>
      <c r="M195" s="3">
        <v>0</v>
      </c>
      <c r="N195">
        <v>499</v>
      </c>
      <c r="O195">
        <v>300</v>
      </c>
      <c r="P195">
        <v>199</v>
      </c>
      <c r="Q195" t="s">
        <v>37</v>
      </c>
      <c r="R195" t="s">
        <v>28</v>
      </c>
      <c r="S195">
        <v>5</v>
      </c>
    </row>
    <row r="196" spans="1:19">
      <c r="A196" t="s">
        <v>473</v>
      </c>
      <c r="B196" s="2">
        <v>45951</v>
      </c>
      <c r="C196" t="s">
        <v>259</v>
      </c>
      <c r="D196" t="s">
        <v>125</v>
      </c>
      <c r="E196" t="s">
        <v>22</v>
      </c>
      <c r="F196">
        <v>28</v>
      </c>
      <c r="G196" t="s">
        <v>23</v>
      </c>
      <c r="H196" t="s">
        <v>24</v>
      </c>
      <c r="I196" t="s">
        <v>25</v>
      </c>
      <c r="J196" t="s">
        <v>26</v>
      </c>
      <c r="K196">
        <v>4</v>
      </c>
      <c r="L196">
        <v>2499</v>
      </c>
      <c r="M196" s="3">
        <v>0</v>
      </c>
      <c r="N196">
        <v>9996</v>
      </c>
      <c r="O196">
        <v>6400</v>
      </c>
      <c r="P196">
        <v>3596</v>
      </c>
      <c r="Q196" t="s">
        <v>66</v>
      </c>
      <c r="R196" t="s">
        <v>28</v>
      </c>
      <c r="S196">
        <v>2</v>
      </c>
    </row>
    <row r="197" spans="1:19">
      <c r="A197" t="s">
        <v>474</v>
      </c>
      <c r="B197" s="2">
        <v>46044</v>
      </c>
      <c r="C197" t="s">
        <v>475</v>
      </c>
      <c r="D197" t="s">
        <v>476</v>
      </c>
      <c r="E197" t="s">
        <v>32</v>
      </c>
      <c r="F197">
        <v>51</v>
      </c>
      <c r="G197" t="s">
        <v>141</v>
      </c>
      <c r="H197" t="s">
        <v>142</v>
      </c>
      <c r="I197" t="s">
        <v>163</v>
      </c>
      <c r="J197" t="s">
        <v>214</v>
      </c>
      <c r="K197">
        <v>4</v>
      </c>
      <c r="L197">
        <v>1499</v>
      </c>
      <c r="M197" s="3">
        <v>0.15</v>
      </c>
      <c r="N197">
        <v>5096.6000000000004</v>
      </c>
      <c r="O197">
        <v>3600</v>
      </c>
      <c r="P197">
        <v>1496.6</v>
      </c>
      <c r="Q197" t="s">
        <v>66</v>
      </c>
      <c r="R197" t="s">
        <v>28</v>
      </c>
      <c r="S197">
        <v>5</v>
      </c>
    </row>
    <row r="198" spans="1:19">
      <c r="A198" t="s">
        <v>477</v>
      </c>
      <c r="B198" s="2">
        <v>45840</v>
      </c>
      <c r="C198" t="s">
        <v>422</v>
      </c>
      <c r="D198" t="s">
        <v>423</v>
      </c>
      <c r="E198" t="s">
        <v>22</v>
      </c>
      <c r="F198">
        <v>26</v>
      </c>
      <c r="G198" t="s">
        <v>141</v>
      </c>
      <c r="H198" t="s">
        <v>142</v>
      </c>
      <c r="I198" t="s">
        <v>75</v>
      </c>
      <c r="J198" t="s">
        <v>76</v>
      </c>
      <c r="K198">
        <v>3</v>
      </c>
      <c r="L198">
        <v>399</v>
      </c>
      <c r="M198" s="3">
        <v>0</v>
      </c>
      <c r="N198">
        <v>1197</v>
      </c>
      <c r="O198">
        <v>660</v>
      </c>
      <c r="P198">
        <v>537</v>
      </c>
      <c r="Q198" t="s">
        <v>50</v>
      </c>
      <c r="R198" t="s">
        <v>28</v>
      </c>
      <c r="S198">
        <v>2</v>
      </c>
    </row>
    <row r="199" spans="1:19">
      <c r="A199" t="s">
        <v>478</v>
      </c>
      <c r="B199" s="2">
        <v>46132</v>
      </c>
      <c r="C199" t="s">
        <v>479</v>
      </c>
      <c r="D199" t="s">
        <v>480</v>
      </c>
      <c r="E199" t="s">
        <v>22</v>
      </c>
      <c r="F199">
        <v>29</v>
      </c>
      <c r="G199" t="s">
        <v>146</v>
      </c>
      <c r="H199" t="s">
        <v>61</v>
      </c>
      <c r="I199" t="s">
        <v>25</v>
      </c>
      <c r="J199" t="s">
        <v>156</v>
      </c>
      <c r="K199">
        <v>1</v>
      </c>
      <c r="L199">
        <v>1999</v>
      </c>
      <c r="M199" s="3">
        <v>0.1</v>
      </c>
      <c r="N199">
        <v>1799.1</v>
      </c>
      <c r="O199">
        <v>1300</v>
      </c>
      <c r="P199">
        <v>499.1</v>
      </c>
      <c r="Q199" t="s">
        <v>50</v>
      </c>
      <c r="R199" t="s">
        <v>28</v>
      </c>
      <c r="S199">
        <v>4</v>
      </c>
    </row>
    <row r="200" spans="1:19">
      <c r="A200" t="s">
        <v>481</v>
      </c>
      <c r="B200" s="2">
        <v>45816</v>
      </c>
      <c r="C200" t="s">
        <v>183</v>
      </c>
      <c r="D200" t="s">
        <v>184</v>
      </c>
      <c r="E200" t="s">
        <v>22</v>
      </c>
      <c r="F200">
        <v>43</v>
      </c>
      <c r="G200" t="s">
        <v>60</v>
      </c>
      <c r="H200" t="s">
        <v>61</v>
      </c>
      <c r="I200" t="s">
        <v>43</v>
      </c>
      <c r="J200" t="s">
        <v>281</v>
      </c>
      <c r="K200">
        <v>4</v>
      </c>
      <c r="L200">
        <v>2999</v>
      </c>
      <c r="M200" s="3">
        <v>0.1</v>
      </c>
      <c r="N200">
        <v>10796.4</v>
      </c>
      <c r="O200">
        <v>7200</v>
      </c>
      <c r="P200">
        <v>3596.4</v>
      </c>
      <c r="Q200" t="s">
        <v>37</v>
      </c>
      <c r="R200" t="s">
        <v>28</v>
      </c>
      <c r="S200">
        <v>1</v>
      </c>
    </row>
    <row r="201" spans="1:19">
      <c r="A201" t="s">
        <v>482</v>
      </c>
      <c r="B201" s="2">
        <v>45674</v>
      </c>
      <c r="C201" t="s">
        <v>236</v>
      </c>
      <c r="D201" t="s">
        <v>237</v>
      </c>
      <c r="E201" t="s">
        <v>32</v>
      </c>
      <c r="F201">
        <v>34</v>
      </c>
      <c r="G201" t="s">
        <v>180</v>
      </c>
      <c r="H201" t="s">
        <v>181</v>
      </c>
      <c r="I201" t="s">
        <v>117</v>
      </c>
      <c r="J201" t="s">
        <v>118</v>
      </c>
      <c r="K201">
        <v>4</v>
      </c>
      <c r="L201">
        <v>999</v>
      </c>
      <c r="M201" s="3">
        <v>0.2</v>
      </c>
      <c r="N201">
        <v>3196.8</v>
      </c>
      <c r="O201">
        <v>2200</v>
      </c>
      <c r="P201">
        <v>996.8</v>
      </c>
      <c r="Q201" t="s">
        <v>27</v>
      </c>
      <c r="R201" t="s">
        <v>28</v>
      </c>
      <c r="S201">
        <v>1</v>
      </c>
    </row>
    <row r="202" spans="1:19">
      <c r="A202" t="s">
        <v>483</v>
      </c>
      <c r="B202" s="2">
        <v>45703</v>
      </c>
      <c r="C202" t="s">
        <v>236</v>
      </c>
      <c r="D202" t="s">
        <v>237</v>
      </c>
      <c r="E202" t="s">
        <v>32</v>
      </c>
      <c r="F202">
        <v>34</v>
      </c>
      <c r="G202" t="s">
        <v>180</v>
      </c>
      <c r="H202" t="s">
        <v>181</v>
      </c>
      <c r="I202" t="s">
        <v>35</v>
      </c>
      <c r="J202" t="s">
        <v>136</v>
      </c>
      <c r="K202">
        <v>1</v>
      </c>
      <c r="L202">
        <v>799</v>
      </c>
      <c r="M202" s="3">
        <v>0.05</v>
      </c>
      <c r="N202">
        <v>759.05</v>
      </c>
      <c r="O202">
        <v>450</v>
      </c>
      <c r="P202">
        <v>309.05</v>
      </c>
      <c r="Q202" t="s">
        <v>66</v>
      </c>
      <c r="R202" t="s">
        <v>28</v>
      </c>
      <c r="S202">
        <v>5</v>
      </c>
    </row>
    <row r="203" spans="1:19">
      <c r="A203" t="s">
        <v>484</v>
      </c>
      <c r="B203" s="2">
        <v>45954</v>
      </c>
      <c r="C203" t="s">
        <v>289</v>
      </c>
      <c r="D203" t="s">
        <v>121</v>
      </c>
      <c r="E203" t="s">
        <v>22</v>
      </c>
      <c r="F203">
        <v>38</v>
      </c>
      <c r="G203" t="s">
        <v>73</v>
      </c>
      <c r="H203" t="s">
        <v>74</v>
      </c>
      <c r="I203" t="s">
        <v>25</v>
      </c>
      <c r="J203" t="s">
        <v>68</v>
      </c>
      <c r="K203">
        <v>2</v>
      </c>
      <c r="L203">
        <v>2999</v>
      </c>
      <c r="M203" s="3">
        <v>0.2</v>
      </c>
      <c r="N203">
        <v>4798.3999999999996</v>
      </c>
      <c r="O203">
        <v>3800</v>
      </c>
      <c r="P203">
        <v>998.4</v>
      </c>
      <c r="Q203" t="s">
        <v>27</v>
      </c>
      <c r="R203" t="s">
        <v>137</v>
      </c>
      <c r="S203">
        <v>3</v>
      </c>
    </row>
    <row r="204" spans="1:19">
      <c r="A204" t="s">
        <v>485</v>
      </c>
      <c r="B204" s="2">
        <v>45967</v>
      </c>
      <c r="C204" t="s">
        <v>71</v>
      </c>
      <c r="D204" t="s">
        <v>72</v>
      </c>
      <c r="E204" t="s">
        <v>32</v>
      </c>
      <c r="F204">
        <v>53</v>
      </c>
      <c r="G204" t="s">
        <v>73</v>
      </c>
      <c r="H204" t="s">
        <v>74</v>
      </c>
      <c r="I204" t="s">
        <v>75</v>
      </c>
      <c r="J204" t="s">
        <v>106</v>
      </c>
      <c r="K204">
        <v>3</v>
      </c>
      <c r="L204">
        <v>899</v>
      </c>
      <c r="M204" s="3">
        <v>0.05</v>
      </c>
      <c r="N204">
        <v>2562.15</v>
      </c>
      <c r="O204">
        <v>1800</v>
      </c>
      <c r="P204">
        <v>762.15</v>
      </c>
      <c r="Q204" t="s">
        <v>27</v>
      </c>
      <c r="R204" t="s">
        <v>51</v>
      </c>
      <c r="S204">
        <v>5</v>
      </c>
    </row>
    <row r="205" spans="1:19">
      <c r="A205" t="s">
        <v>486</v>
      </c>
      <c r="B205" s="2">
        <v>45720</v>
      </c>
      <c r="C205" t="s">
        <v>310</v>
      </c>
      <c r="D205" t="s">
        <v>311</v>
      </c>
      <c r="E205" t="s">
        <v>32</v>
      </c>
      <c r="F205">
        <v>50</v>
      </c>
      <c r="G205" t="s">
        <v>81</v>
      </c>
      <c r="H205" t="s">
        <v>82</v>
      </c>
      <c r="I205" t="s">
        <v>163</v>
      </c>
      <c r="J205" t="s">
        <v>234</v>
      </c>
      <c r="K205">
        <v>3</v>
      </c>
      <c r="L205">
        <v>999</v>
      </c>
      <c r="M205" s="3">
        <v>0.1</v>
      </c>
      <c r="N205">
        <v>2697.3</v>
      </c>
      <c r="O205">
        <v>1800</v>
      </c>
      <c r="P205">
        <v>897.3</v>
      </c>
      <c r="Q205" t="s">
        <v>50</v>
      </c>
      <c r="R205" t="s">
        <v>77</v>
      </c>
      <c r="S205">
        <v>2</v>
      </c>
    </row>
    <row r="206" spans="1:19">
      <c r="A206" t="s">
        <v>487</v>
      </c>
      <c r="B206" s="2">
        <v>46010</v>
      </c>
      <c r="C206" t="s">
        <v>488</v>
      </c>
      <c r="D206" t="s">
        <v>489</v>
      </c>
      <c r="E206" t="s">
        <v>22</v>
      </c>
      <c r="F206">
        <v>48</v>
      </c>
      <c r="G206" t="s">
        <v>115</v>
      </c>
      <c r="H206" t="s">
        <v>116</v>
      </c>
      <c r="I206" t="s">
        <v>35</v>
      </c>
      <c r="J206" t="s">
        <v>126</v>
      </c>
      <c r="K206">
        <v>4</v>
      </c>
      <c r="L206">
        <v>1499</v>
      </c>
      <c r="M206" s="3">
        <v>0</v>
      </c>
      <c r="N206">
        <v>5996</v>
      </c>
      <c r="O206">
        <v>3400</v>
      </c>
      <c r="P206">
        <v>2596</v>
      </c>
      <c r="Q206" t="s">
        <v>66</v>
      </c>
      <c r="R206" t="s">
        <v>137</v>
      </c>
      <c r="S206">
        <v>3</v>
      </c>
    </row>
    <row r="207" spans="1:19">
      <c r="A207" t="s">
        <v>490</v>
      </c>
      <c r="B207" s="2">
        <v>46043</v>
      </c>
      <c r="C207" t="s">
        <v>491</v>
      </c>
      <c r="D207" t="s">
        <v>92</v>
      </c>
      <c r="E207" t="s">
        <v>22</v>
      </c>
      <c r="F207">
        <v>25</v>
      </c>
      <c r="G207" t="s">
        <v>23</v>
      </c>
      <c r="H207" t="s">
        <v>24</v>
      </c>
      <c r="I207" t="s">
        <v>163</v>
      </c>
      <c r="J207" t="s">
        <v>234</v>
      </c>
      <c r="K207">
        <v>2</v>
      </c>
      <c r="L207">
        <v>999</v>
      </c>
      <c r="M207" s="3">
        <v>0.1</v>
      </c>
      <c r="N207">
        <v>1798.2</v>
      </c>
      <c r="O207">
        <v>1200</v>
      </c>
      <c r="P207">
        <v>598.20000000000005</v>
      </c>
      <c r="Q207" t="s">
        <v>27</v>
      </c>
      <c r="R207" t="s">
        <v>28</v>
      </c>
      <c r="S207">
        <v>4</v>
      </c>
    </row>
    <row r="208" spans="1:19">
      <c r="A208" t="s">
        <v>492</v>
      </c>
      <c r="B208" s="2">
        <v>46132</v>
      </c>
      <c r="C208" t="s">
        <v>363</v>
      </c>
      <c r="D208" t="s">
        <v>155</v>
      </c>
      <c r="E208" t="s">
        <v>32</v>
      </c>
      <c r="F208">
        <v>43</v>
      </c>
      <c r="G208" t="s">
        <v>48</v>
      </c>
      <c r="H208" t="s">
        <v>42</v>
      </c>
      <c r="I208" t="s">
        <v>43</v>
      </c>
      <c r="J208" t="s">
        <v>281</v>
      </c>
      <c r="K208">
        <v>3</v>
      </c>
      <c r="L208">
        <v>2999</v>
      </c>
      <c r="M208" s="3">
        <v>0.05</v>
      </c>
      <c r="N208">
        <v>8547.15</v>
      </c>
      <c r="O208">
        <v>5400</v>
      </c>
      <c r="P208">
        <v>3147.15</v>
      </c>
      <c r="Q208" t="s">
        <v>69</v>
      </c>
      <c r="R208" t="s">
        <v>28</v>
      </c>
      <c r="S208">
        <v>4</v>
      </c>
    </row>
    <row r="209" spans="1:19">
      <c r="A209" t="s">
        <v>493</v>
      </c>
      <c r="B209" s="2">
        <v>45906</v>
      </c>
      <c r="C209" t="s">
        <v>427</v>
      </c>
      <c r="D209" t="s">
        <v>248</v>
      </c>
      <c r="E209" t="s">
        <v>32</v>
      </c>
      <c r="F209">
        <v>33</v>
      </c>
      <c r="G209" t="s">
        <v>41</v>
      </c>
      <c r="H209" t="s">
        <v>42</v>
      </c>
      <c r="I209" t="s">
        <v>35</v>
      </c>
      <c r="J209" t="s">
        <v>108</v>
      </c>
      <c r="K209">
        <v>2</v>
      </c>
      <c r="L209">
        <v>699</v>
      </c>
      <c r="M209" s="3">
        <v>0.15</v>
      </c>
      <c r="N209">
        <v>1188.3</v>
      </c>
      <c r="O209">
        <v>760</v>
      </c>
      <c r="P209">
        <v>428.3</v>
      </c>
      <c r="Q209" t="s">
        <v>37</v>
      </c>
      <c r="R209" t="s">
        <v>28</v>
      </c>
      <c r="S209">
        <v>1</v>
      </c>
    </row>
    <row r="210" spans="1:19">
      <c r="A210" t="s">
        <v>494</v>
      </c>
      <c r="B210" s="2">
        <v>45853</v>
      </c>
      <c r="C210" t="s">
        <v>257</v>
      </c>
      <c r="D210" t="s">
        <v>125</v>
      </c>
      <c r="E210" t="s">
        <v>32</v>
      </c>
      <c r="F210">
        <v>52</v>
      </c>
      <c r="G210" t="s">
        <v>33</v>
      </c>
      <c r="H210" t="s">
        <v>34</v>
      </c>
      <c r="I210" t="s">
        <v>163</v>
      </c>
      <c r="J210" t="s">
        <v>214</v>
      </c>
      <c r="K210">
        <v>1</v>
      </c>
      <c r="L210">
        <v>1499</v>
      </c>
      <c r="M210" s="3">
        <v>0.2</v>
      </c>
      <c r="N210">
        <v>1199.2</v>
      </c>
      <c r="O210">
        <v>900</v>
      </c>
      <c r="P210">
        <v>299.2</v>
      </c>
      <c r="Q210" t="s">
        <v>69</v>
      </c>
      <c r="R210" t="s">
        <v>28</v>
      </c>
      <c r="S210">
        <v>5</v>
      </c>
    </row>
    <row r="211" spans="1:19">
      <c r="A211" t="s">
        <v>495</v>
      </c>
      <c r="B211" s="2">
        <v>46230</v>
      </c>
      <c r="C211" t="s">
        <v>496</v>
      </c>
      <c r="D211" t="s">
        <v>408</v>
      </c>
      <c r="E211" t="s">
        <v>32</v>
      </c>
      <c r="F211">
        <v>54</v>
      </c>
      <c r="G211" t="s">
        <v>41</v>
      </c>
      <c r="H211" t="s">
        <v>42</v>
      </c>
      <c r="I211" t="s">
        <v>25</v>
      </c>
      <c r="J211" t="s">
        <v>26</v>
      </c>
      <c r="K211">
        <v>2</v>
      </c>
      <c r="L211">
        <v>2499</v>
      </c>
      <c r="M211" s="3">
        <v>0.2</v>
      </c>
      <c r="N211">
        <v>3998.4</v>
      </c>
      <c r="O211">
        <v>3200</v>
      </c>
      <c r="P211">
        <v>798.4</v>
      </c>
      <c r="Q211" t="s">
        <v>27</v>
      </c>
      <c r="R211" t="s">
        <v>28</v>
      </c>
      <c r="S211">
        <v>3</v>
      </c>
    </row>
    <row r="212" spans="1:19">
      <c r="A212" t="s">
        <v>497</v>
      </c>
      <c r="B212" s="2">
        <v>45778</v>
      </c>
      <c r="C212" t="s">
        <v>227</v>
      </c>
      <c r="D212" t="s">
        <v>228</v>
      </c>
      <c r="E212" t="s">
        <v>22</v>
      </c>
      <c r="F212">
        <v>24</v>
      </c>
      <c r="G212" t="s">
        <v>93</v>
      </c>
      <c r="H212" t="s">
        <v>94</v>
      </c>
      <c r="I212" t="s">
        <v>25</v>
      </c>
      <c r="J212" t="s">
        <v>156</v>
      </c>
      <c r="K212">
        <v>2</v>
      </c>
      <c r="L212">
        <v>1999</v>
      </c>
      <c r="M212" s="3">
        <v>0.05</v>
      </c>
      <c r="N212">
        <v>3798.1</v>
      </c>
      <c r="O212">
        <v>2600</v>
      </c>
      <c r="P212">
        <v>1198.0999999999999</v>
      </c>
      <c r="Q212" t="s">
        <v>66</v>
      </c>
      <c r="R212" t="s">
        <v>77</v>
      </c>
      <c r="S212">
        <v>2</v>
      </c>
    </row>
    <row r="213" spans="1:19">
      <c r="A213" t="s">
        <v>498</v>
      </c>
      <c r="B213" s="2">
        <v>46047</v>
      </c>
      <c r="C213" t="s">
        <v>220</v>
      </c>
      <c r="D213" t="s">
        <v>221</v>
      </c>
      <c r="E213" t="s">
        <v>22</v>
      </c>
      <c r="F213">
        <v>27</v>
      </c>
      <c r="G213" t="s">
        <v>141</v>
      </c>
      <c r="H213" t="s">
        <v>142</v>
      </c>
      <c r="I213" t="s">
        <v>43</v>
      </c>
      <c r="J213" t="s">
        <v>281</v>
      </c>
      <c r="K213">
        <v>3</v>
      </c>
      <c r="L213">
        <v>2999</v>
      </c>
      <c r="M213" s="3">
        <v>0.1</v>
      </c>
      <c r="N213">
        <v>8097.3</v>
      </c>
      <c r="O213">
        <v>5400</v>
      </c>
      <c r="P213">
        <v>2697.3</v>
      </c>
      <c r="Q213" t="s">
        <v>66</v>
      </c>
      <c r="R213" t="s">
        <v>28</v>
      </c>
      <c r="S213">
        <v>3</v>
      </c>
    </row>
    <row r="214" spans="1:19">
      <c r="A214" t="s">
        <v>499</v>
      </c>
      <c r="B214" s="2">
        <v>46167</v>
      </c>
      <c r="C214" t="s">
        <v>103</v>
      </c>
      <c r="D214" t="s">
        <v>104</v>
      </c>
      <c r="E214" t="s">
        <v>32</v>
      </c>
      <c r="F214">
        <v>27</v>
      </c>
      <c r="G214" t="s">
        <v>105</v>
      </c>
      <c r="H214" t="s">
        <v>105</v>
      </c>
      <c r="I214" t="s">
        <v>43</v>
      </c>
      <c r="J214" t="s">
        <v>197</v>
      </c>
      <c r="K214">
        <v>3</v>
      </c>
      <c r="L214">
        <v>1799</v>
      </c>
      <c r="M214" s="3">
        <v>0.2</v>
      </c>
      <c r="N214">
        <v>4317.6000000000004</v>
      </c>
      <c r="O214">
        <v>3150</v>
      </c>
      <c r="P214">
        <v>1167.5999999999999</v>
      </c>
      <c r="Q214" t="s">
        <v>66</v>
      </c>
      <c r="R214" t="s">
        <v>28</v>
      </c>
      <c r="S214">
        <v>4</v>
      </c>
    </row>
    <row r="215" spans="1:19">
      <c r="A215" t="s">
        <v>500</v>
      </c>
      <c r="B215" s="2">
        <v>46081</v>
      </c>
      <c r="C215" t="s">
        <v>357</v>
      </c>
      <c r="D215" t="s">
        <v>237</v>
      </c>
      <c r="E215" t="s">
        <v>22</v>
      </c>
      <c r="F215">
        <v>42</v>
      </c>
      <c r="G215" t="s">
        <v>251</v>
      </c>
      <c r="H215" t="s">
        <v>251</v>
      </c>
      <c r="I215" t="s">
        <v>43</v>
      </c>
      <c r="J215" t="s">
        <v>49</v>
      </c>
      <c r="K215">
        <v>3</v>
      </c>
      <c r="L215">
        <v>799</v>
      </c>
      <c r="M215" s="3">
        <v>0.1</v>
      </c>
      <c r="N215">
        <v>2157.3000000000002</v>
      </c>
      <c r="O215">
        <v>1350</v>
      </c>
      <c r="P215">
        <v>807.3</v>
      </c>
      <c r="Q215" t="s">
        <v>69</v>
      </c>
      <c r="R215" t="s">
        <v>28</v>
      </c>
      <c r="S215">
        <v>2</v>
      </c>
    </row>
    <row r="216" spans="1:19">
      <c r="A216" t="s">
        <v>501</v>
      </c>
      <c r="B216" s="2">
        <v>46256</v>
      </c>
      <c r="C216" t="s">
        <v>354</v>
      </c>
      <c r="D216" t="s">
        <v>339</v>
      </c>
      <c r="E216" t="s">
        <v>32</v>
      </c>
      <c r="F216">
        <v>25</v>
      </c>
      <c r="G216" t="s">
        <v>115</v>
      </c>
      <c r="H216" t="s">
        <v>116</v>
      </c>
      <c r="I216" t="s">
        <v>25</v>
      </c>
      <c r="J216" t="s">
        <v>156</v>
      </c>
      <c r="K216">
        <v>3</v>
      </c>
      <c r="L216">
        <v>1999</v>
      </c>
      <c r="M216" s="3">
        <v>0.2</v>
      </c>
      <c r="N216">
        <v>4797.6000000000004</v>
      </c>
      <c r="O216">
        <v>3900</v>
      </c>
      <c r="P216">
        <v>897.6</v>
      </c>
      <c r="Q216" t="s">
        <v>50</v>
      </c>
      <c r="R216" t="s">
        <v>28</v>
      </c>
      <c r="S216">
        <v>3</v>
      </c>
    </row>
    <row r="217" spans="1:19">
      <c r="A217" t="s">
        <v>502</v>
      </c>
      <c r="B217" s="2">
        <v>46046</v>
      </c>
      <c r="C217" t="s">
        <v>315</v>
      </c>
      <c r="D217" t="s">
        <v>305</v>
      </c>
      <c r="E217" t="s">
        <v>22</v>
      </c>
      <c r="F217">
        <v>18</v>
      </c>
      <c r="G217" t="s">
        <v>48</v>
      </c>
      <c r="H217" t="s">
        <v>42</v>
      </c>
      <c r="I217" t="s">
        <v>43</v>
      </c>
      <c r="J217" t="s">
        <v>49</v>
      </c>
      <c r="K217">
        <v>3</v>
      </c>
      <c r="L217">
        <v>799</v>
      </c>
      <c r="M217" s="3">
        <v>0.05</v>
      </c>
      <c r="N217">
        <v>2277.15</v>
      </c>
      <c r="O217">
        <v>1350</v>
      </c>
      <c r="P217">
        <v>927.15</v>
      </c>
      <c r="Q217" t="s">
        <v>50</v>
      </c>
      <c r="R217" t="s">
        <v>137</v>
      </c>
      <c r="S217">
        <v>4</v>
      </c>
    </row>
    <row r="218" spans="1:19">
      <c r="A218" t="s">
        <v>503</v>
      </c>
      <c r="B218" s="2">
        <v>46158</v>
      </c>
      <c r="C218" t="s">
        <v>397</v>
      </c>
      <c r="D218" t="s">
        <v>284</v>
      </c>
      <c r="E218" t="s">
        <v>22</v>
      </c>
      <c r="F218">
        <v>51</v>
      </c>
      <c r="G218" t="s">
        <v>33</v>
      </c>
      <c r="H218" t="s">
        <v>34</v>
      </c>
      <c r="I218" t="s">
        <v>75</v>
      </c>
      <c r="J218" t="s">
        <v>76</v>
      </c>
      <c r="K218">
        <v>3</v>
      </c>
      <c r="L218">
        <v>399</v>
      </c>
      <c r="M218" s="3">
        <v>0.1</v>
      </c>
      <c r="N218">
        <v>1077.3</v>
      </c>
      <c r="O218">
        <v>660</v>
      </c>
      <c r="P218">
        <v>417.3</v>
      </c>
      <c r="Q218" t="s">
        <v>66</v>
      </c>
      <c r="R218" t="s">
        <v>28</v>
      </c>
      <c r="S218">
        <v>3</v>
      </c>
    </row>
    <row r="219" spans="1:19">
      <c r="A219" t="s">
        <v>504</v>
      </c>
      <c r="B219" s="2">
        <v>46213</v>
      </c>
      <c r="C219" t="s">
        <v>407</v>
      </c>
      <c r="D219" t="s">
        <v>408</v>
      </c>
      <c r="E219" t="s">
        <v>32</v>
      </c>
      <c r="F219">
        <v>44</v>
      </c>
      <c r="G219" t="s">
        <v>48</v>
      </c>
      <c r="H219" t="s">
        <v>42</v>
      </c>
      <c r="I219" t="s">
        <v>25</v>
      </c>
      <c r="J219" t="s">
        <v>62</v>
      </c>
      <c r="K219">
        <v>4</v>
      </c>
      <c r="L219">
        <v>1299</v>
      </c>
      <c r="M219" s="3">
        <v>0.05</v>
      </c>
      <c r="N219">
        <v>4936.2</v>
      </c>
      <c r="O219">
        <v>3200</v>
      </c>
      <c r="P219">
        <v>1736.2</v>
      </c>
      <c r="Q219" t="s">
        <v>69</v>
      </c>
      <c r="R219" t="s">
        <v>28</v>
      </c>
      <c r="S219">
        <v>1</v>
      </c>
    </row>
    <row r="220" spans="1:19">
      <c r="A220" t="s">
        <v>505</v>
      </c>
      <c r="B220" s="2">
        <v>45894</v>
      </c>
      <c r="C220" t="s">
        <v>506</v>
      </c>
      <c r="D220" t="s">
        <v>414</v>
      </c>
      <c r="E220" t="s">
        <v>22</v>
      </c>
      <c r="F220">
        <v>42</v>
      </c>
      <c r="G220" t="s">
        <v>180</v>
      </c>
      <c r="H220" t="s">
        <v>181</v>
      </c>
      <c r="I220" t="s">
        <v>25</v>
      </c>
      <c r="J220" t="s">
        <v>156</v>
      </c>
      <c r="K220">
        <v>4</v>
      </c>
      <c r="L220">
        <v>1999</v>
      </c>
      <c r="M220" s="3">
        <v>0.05</v>
      </c>
      <c r="N220">
        <v>7596.2</v>
      </c>
      <c r="O220">
        <v>5200</v>
      </c>
      <c r="P220">
        <v>2396.1999999999998</v>
      </c>
      <c r="Q220" t="s">
        <v>69</v>
      </c>
      <c r="R220" t="s">
        <v>28</v>
      </c>
      <c r="S220">
        <v>1</v>
      </c>
    </row>
    <row r="221" spans="1:19">
      <c r="A221" t="s">
        <v>507</v>
      </c>
      <c r="B221" s="2">
        <v>45719</v>
      </c>
      <c r="C221" t="s">
        <v>289</v>
      </c>
      <c r="D221" t="s">
        <v>121</v>
      </c>
      <c r="E221" t="s">
        <v>22</v>
      </c>
      <c r="F221">
        <v>38</v>
      </c>
      <c r="G221" t="s">
        <v>73</v>
      </c>
      <c r="H221" t="s">
        <v>74</v>
      </c>
      <c r="I221" t="s">
        <v>35</v>
      </c>
      <c r="J221" t="s">
        <v>108</v>
      </c>
      <c r="K221">
        <v>4</v>
      </c>
      <c r="L221">
        <v>699</v>
      </c>
      <c r="M221" s="3">
        <v>0.1</v>
      </c>
      <c r="N221">
        <v>2516.4</v>
      </c>
      <c r="O221">
        <v>1520</v>
      </c>
      <c r="P221">
        <v>996.4</v>
      </c>
      <c r="Q221" t="s">
        <v>50</v>
      </c>
      <c r="R221" t="s">
        <v>28</v>
      </c>
      <c r="S221">
        <v>5</v>
      </c>
    </row>
    <row r="222" spans="1:19">
      <c r="A222" t="s">
        <v>508</v>
      </c>
      <c r="B222" s="2">
        <v>45664</v>
      </c>
      <c r="C222" t="s">
        <v>148</v>
      </c>
      <c r="D222" t="s">
        <v>47</v>
      </c>
      <c r="E222" t="s">
        <v>22</v>
      </c>
      <c r="F222">
        <v>23</v>
      </c>
      <c r="G222" t="s">
        <v>93</v>
      </c>
      <c r="H222" t="s">
        <v>94</v>
      </c>
      <c r="I222" t="s">
        <v>117</v>
      </c>
      <c r="J222" t="s">
        <v>118</v>
      </c>
      <c r="K222">
        <v>4</v>
      </c>
      <c r="L222">
        <v>999</v>
      </c>
      <c r="M222" s="3">
        <v>0</v>
      </c>
      <c r="N222">
        <v>3996</v>
      </c>
      <c r="O222">
        <v>2200</v>
      </c>
      <c r="P222">
        <v>1796</v>
      </c>
      <c r="Q222" t="s">
        <v>50</v>
      </c>
      <c r="R222" t="s">
        <v>28</v>
      </c>
      <c r="S222">
        <v>1</v>
      </c>
    </row>
    <row r="223" spans="1:19">
      <c r="A223" t="s">
        <v>509</v>
      </c>
      <c r="B223" s="2">
        <v>45951</v>
      </c>
      <c r="C223" t="s">
        <v>20</v>
      </c>
      <c r="D223" t="s">
        <v>21</v>
      </c>
      <c r="E223" t="s">
        <v>22</v>
      </c>
      <c r="F223">
        <v>52</v>
      </c>
      <c r="G223" t="s">
        <v>23</v>
      </c>
      <c r="H223" t="s">
        <v>24</v>
      </c>
      <c r="I223" t="s">
        <v>35</v>
      </c>
      <c r="J223" t="s">
        <v>108</v>
      </c>
      <c r="K223">
        <v>3</v>
      </c>
      <c r="L223">
        <v>699</v>
      </c>
      <c r="M223" s="3">
        <v>0.2</v>
      </c>
      <c r="N223">
        <v>1677.6</v>
      </c>
      <c r="O223">
        <v>1140</v>
      </c>
      <c r="P223">
        <v>537.6</v>
      </c>
      <c r="Q223" t="s">
        <v>69</v>
      </c>
      <c r="R223" t="s">
        <v>28</v>
      </c>
      <c r="S223">
        <v>4</v>
      </c>
    </row>
    <row r="224" spans="1:19">
      <c r="A224" t="s">
        <v>510</v>
      </c>
      <c r="B224" s="2">
        <v>45810</v>
      </c>
      <c r="C224" t="s">
        <v>511</v>
      </c>
      <c r="D224" t="s">
        <v>512</v>
      </c>
      <c r="E224" t="s">
        <v>22</v>
      </c>
      <c r="F224">
        <v>24</v>
      </c>
      <c r="G224" t="s">
        <v>115</v>
      </c>
      <c r="H224" t="s">
        <v>116</v>
      </c>
      <c r="I224" t="s">
        <v>25</v>
      </c>
      <c r="J224" t="s">
        <v>56</v>
      </c>
      <c r="K224">
        <v>1</v>
      </c>
      <c r="L224">
        <v>899</v>
      </c>
      <c r="M224" s="3">
        <v>0.2</v>
      </c>
      <c r="N224">
        <v>719.2</v>
      </c>
      <c r="O224">
        <v>550</v>
      </c>
      <c r="P224">
        <v>169.2</v>
      </c>
      <c r="Q224" t="s">
        <v>27</v>
      </c>
      <c r="R224" t="s">
        <v>28</v>
      </c>
      <c r="S224">
        <v>5</v>
      </c>
    </row>
    <row r="225" spans="1:19">
      <c r="A225" t="s">
        <v>513</v>
      </c>
      <c r="B225" s="2">
        <v>45738</v>
      </c>
      <c r="C225" t="s">
        <v>209</v>
      </c>
      <c r="D225" t="s">
        <v>210</v>
      </c>
      <c r="E225" t="s">
        <v>32</v>
      </c>
      <c r="F225">
        <v>26</v>
      </c>
      <c r="G225" t="s">
        <v>23</v>
      </c>
      <c r="H225" t="s">
        <v>24</v>
      </c>
      <c r="I225" t="s">
        <v>163</v>
      </c>
      <c r="J225" t="s">
        <v>214</v>
      </c>
      <c r="K225">
        <v>3</v>
      </c>
      <c r="L225">
        <v>1499</v>
      </c>
      <c r="M225" s="3">
        <v>0.15</v>
      </c>
      <c r="N225">
        <v>3822.45</v>
      </c>
      <c r="O225">
        <v>2700</v>
      </c>
      <c r="P225">
        <v>1122.45</v>
      </c>
      <c r="Q225" t="s">
        <v>37</v>
      </c>
      <c r="R225" t="s">
        <v>51</v>
      </c>
      <c r="S225">
        <v>4</v>
      </c>
    </row>
    <row r="226" spans="1:19">
      <c r="A226" t="s">
        <v>514</v>
      </c>
      <c r="B226" s="2">
        <v>45740</v>
      </c>
      <c r="C226" t="s">
        <v>287</v>
      </c>
      <c r="D226" t="s">
        <v>190</v>
      </c>
      <c r="E226" t="s">
        <v>32</v>
      </c>
      <c r="F226">
        <v>39</v>
      </c>
      <c r="G226" t="s">
        <v>81</v>
      </c>
      <c r="H226" t="s">
        <v>82</v>
      </c>
      <c r="I226" t="s">
        <v>43</v>
      </c>
      <c r="J226" t="s">
        <v>281</v>
      </c>
      <c r="K226">
        <v>2</v>
      </c>
      <c r="L226">
        <v>2999</v>
      </c>
      <c r="M226" s="3">
        <v>0.1</v>
      </c>
      <c r="N226">
        <v>5398.2</v>
      </c>
      <c r="O226">
        <v>3600</v>
      </c>
      <c r="P226">
        <v>1798.2</v>
      </c>
      <c r="Q226" t="s">
        <v>69</v>
      </c>
      <c r="R226" t="s">
        <v>28</v>
      </c>
      <c r="S226">
        <v>4</v>
      </c>
    </row>
    <row r="227" spans="1:19">
      <c r="A227" t="s">
        <v>515</v>
      </c>
      <c r="B227" s="2">
        <v>45667</v>
      </c>
      <c r="C227" t="s">
        <v>516</v>
      </c>
      <c r="D227" t="s">
        <v>449</v>
      </c>
      <c r="E227" t="s">
        <v>22</v>
      </c>
      <c r="F227">
        <v>45</v>
      </c>
      <c r="G227" t="s">
        <v>41</v>
      </c>
      <c r="H227" t="s">
        <v>42</v>
      </c>
      <c r="I227" t="s">
        <v>35</v>
      </c>
      <c r="J227" t="s">
        <v>126</v>
      </c>
      <c r="K227">
        <v>4</v>
      </c>
      <c r="L227">
        <v>1499</v>
      </c>
      <c r="M227" s="3">
        <v>0</v>
      </c>
      <c r="N227">
        <v>5996</v>
      </c>
      <c r="O227">
        <v>3400</v>
      </c>
      <c r="P227">
        <v>2596</v>
      </c>
      <c r="Q227" t="s">
        <v>27</v>
      </c>
      <c r="R227" t="s">
        <v>28</v>
      </c>
      <c r="S227">
        <v>4</v>
      </c>
    </row>
    <row r="228" spans="1:19">
      <c r="A228" t="s">
        <v>517</v>
      </c>
      <c r="B228" s="2">
        <v>45701</v>
      </c>
      <c r="C228" t="s">
        <v>247</v>
      </c>
      <c r="D228" t="s">
        <v>248</v>
      </c>
      <c r="E228" t="s">
        <v>32</v>
      </c>
      <c r="F228">
        <v>35</v>
      </c>
      <c r="G228" t="s">
        <v>33</v>
      </c>
      <c r="H228" t="s">
        <v>34</v>
      </c>
      <c r="I228" t="s">
        <v>75</v>
      </c>
      <c r="J228" t="s">
        <v>86</v>
      </c>
      <c r="K228">
        <v>1</v>
      </c>
      <c r="L228">
        <v>499</v>
      </c>
      <c r="M228" s="3">
        <v>0.2</v>
      </c>
      <c r="N228">
        <v>399.2</v>
      </c>
      <c r="O228">
        <v>300</v>
      </c>
      <c r="P228">
        <v>99.2</v>
      </c>
      <c r="Q228" t="s">
        <v>27</v>
      </c>
      <c r="R228" t="s">
        <v>28</v>
      </c>
      <c r="S228">
        <v>5</v>
      </c>
    </row>
    <row r="229" spans="1:19">
      <c r="A229" t="s">
        <v>518</v>
      </c>
      <c r="B229" s="2">
        <v>45945</v>
      </c>
      <c r="C229" t="s">
        <v>433</v>
      </c>
      <c r="D229" t="s">
        <v>92</v>
      </c>
      <c r="E229" t="s">
        <v>32</v>
      </c>
      <c r="F229">
        <v>28</v>
      </c>
      <c r="G229" t="s">
        <v>93</v>
      </c>
      <c r="H229" t="s">
        <v>94</v>
      </c>
      <c r="I229" t="s">
        <v>43</v>
      </c>
      <c r="J229" t="s">
        <v>197</v>
      </c>
      <c r="K229">
        <v>1</v>
      </c>
      <c r="L229">
        <v>1799</v>
      </c>
      <c r="M229" s="3">
        <v>0</v>
      </c>
      <c r="N229">
        <v>1799</v>
      </c>
      <c r="O229">
        <v>1050</v>
      </c>
      <c r="P229">
        <v>749</v>
      </c>
      <c r="Q229" t="s">
        <v>50</v>
      </c>
      <c r="R229" t="s">
        <v>28</v>
      </c>
      <c r="S229">
        <v>1</v>
      </c>
    </row>
    <row r="230" spans="1:19">
      <c r="A230" t="s">
        <v>519</v>
      </c>
      <c r="B230" s="2">
        <v>46259</v>
      </c>
      <c r="C230" t="s">
        <v>511</v>
      </c>
      <c r="D230" t="s">
        <v>512</v>
      </c>
      <c r="E230" t="s">
        <v>22</v>
      </c>
      <c r="F230">
        <v>24</v>
      </c>
      <c r="G230" t="s">
        <v>115</v>
      </c>
      <c r="H230" t="s">
        <v>116</v>
      </c>
      <c r="I230" t="s">
        <v>163</v>
      </c>
      <c r="J230" t="s">
        <v>164</v>
      </c>
      <c r="K230">
        <v>1</v>
      </c>
      <c r="L230">
        <v>3499</v>
      </c>
      <c r="M230" s="3">
        <v>0.05</v>
      </c>
      <c r="N230">
        <v>3324.05</v>
      </c>
      <c r="O230">
        <v>2200</v>
      </c>
      <c r="P230">
        <v>1124.05</v>
      </c>
      <c r="Q230" t="s">
        <v>27</v>
      </c>
      <c r="R230" t="s">
        <v>28</v>
      </c>
      <c r="S230">
        <v>4</v>
      </c>
    </row>
    <row r="231" spans="1:19">
      <c r="A231" t="s">
        <v>520</v>
      </c>
      <c r="B231" s="2">
        <v>45904</v>
      </c>
      <c r="C231" t="s">
        <v>91</v>
      </c>
      <c r="D231" t="s">
        <v>92</v>
      </c>
      <c r="E231" t="s">
        <v>32</v>
      </c>
      <c r="F231">
        <v>43</v>
      </c>
      <c r="G231" t="s">
        <v>93</v>
      </c>
      <c r="H231" t="s">
        <v>94</v>
      </c>
      <c r="I231" t="s">
        <v>43</v>
      </c>
      <c r="J231" t="s">
        <v>44</v>
      </c>
      <c r="K231">
        <v>2</v>
      </c>
      <c r="L231">
        <v>1599</v>
      </c>
      <c r="M231" s="3">
        <v>0.2</v>
      </c>
      <c r="N231">
        <v>2558.4</v>
      </c>
      <c r="O231">
        <v>1900</v>
      </c>
      <c r="P231">
        <v>658.4</v>
      </c>
      <c r="Q231" t="s">
        <v>50</v>
      </c>
      <c r="R231" t="s">
        <v>137</v>
      </c>
      <c r="S231">
        <v>4</v>
      </c>
    </row>
    <row r="232" spans="1:19">
      <c r="A232" t="s">
        <v>521</v>
      </c>
      <c r="B232" s="2">
        <v>45738</v>
      </c>
      <c r="C232" t="s">
        <v>233</v>
      </c>
      <c r="D232" t="s">
        <v>213</v>
      </c>
      <c r="E232" t="s">
        <v>32</v>
      </c>
      <c r="F232">
        <v>18</v>
      </c>
      <c r="G232" t="s">
        <v>93</v>
      </c>
      <c r="H232" t="s">
        <v>94</v>
      </c>
      <c r="I232" t="s">
        <v>163</v>
      </c>
      <c r="J232" t="s">
        <v>164</v>
      </c>
      <c r="K232">
        <v>4</v>
      </c>
      <c r="L232">
        <v>3499</v>
      </c>
      <c r="M232" s="3">
        <v>0.05</v>
      </c>
      <c r="N232">
        <v>13296.2</v>
      </c>
      <c r="O232">
        <v>8800</v>
      </c>
      <c r="P232">
        <v>4496.2</v>
      </c>
      <c r="Q232" t="s">
        <v>50</v>
      </c>
      <c r="R232" t="s">
        <v>28</v>
      </c>
      <c r="S232">
        <v>3</v>
      </c>
    </row>
    <row r="233" spans="1:19">
      <c r="A233" t="s">
        <v>522</v>
      </c>
      <c r="B233" s="2">
        <v>45735</v>
      </c>
      <c r="C233" t="s">
        <v>332</v>
      </c>
      <c r="D233" t="s">
        <v>333</v>
      </c>
      <c r="E233" t="s">
        <v>32</v>
      </c>
      <c r="F233">
        <v>28</v>
      </c>
      <c r="G233" t="s">
        <v>93</v>
      </c>
      <c r="H233" t="s">
        <v>94</v>
      </c>
      <c r="I233" t="s">
        <v>25</v>
      </c>
      <c r="J233" t="s">
        <v>56</v>
      </c>
      <c r="K233">
        <v>4</v>
      </c>
      <c r="L233">
        <v>899</v>
      </c>
      <c r="M233" s="3">
        <v>0.05</v>
      </c>
      <c r="N233">
        <v>3416.2</v>
      </c>
      <c r="O233">
        <v>2200</v>
      </c>
      <c r="P233">
        <v>1216.2</v>
      </c>
      <c r="Q233" t="s">
        <v>37</v>
      </c>
      <c r="R233" t="s">
        <v>28</v>
      </c>
      <c r="S233">
        <v>5</v>
      </c>
    </row>
    <row r="234" spans="1:19">
      <c r="A234" t="s">
        <v>523</v>
      </c>
      <c r="B234" s="2">
        <v>46119</v>
      </c>
      <c r="C234" t="s">
        <v>220</v>
      </c>
      <c r="D234" t="s">
        <v>221</v>
      </c>
      <c r="E234" t="s">
        <v>22</v>
      </c>
      <c r="F234">
        <v>27</v>
      </c>
      <c r="G234" t="s">
        <v>141</v>
      </c>
      <c r="H234" t="s">
        <v>142</v>
      </c>
      <c r="I234" t="s">
        <v>163</v>
      </c>
      <c r="J234" t="s">
        <v>164</v>
      </c>
      <c r="K234">
        <v>1</v>
      </c>
      <c r="L234">
        <v>3499</v>
      </c>
      <c r="M234" s="3">
        <v>0.1</v>
      </c>
      <c r="N234">
        <v>3149.1</v>
      </c>
      <c r="O234">
        <v>2200</v>
      </c>
      <c r="P234">
        <v>949.1</v>
      </c>
      <c r="Q234" t="s">
        <v>66</v>
      </c>
      <c r="R234" t="s">
        <v>28</v>
      </c>
      <c r="S234">
        <v>5</v>
      </c>
    </row>
    <row r="235" spans="1:19">
      <c r="A235" t="s">
        <v>524</v>
      </c>
      <c r="B235" s="2">
        <v>46047</v>
      </c>
      <c r="C235" t="s">
        <v>516</v>
      </c>
      <c r="D235" t="s">
        <v>449</v>
      </c>
      <c r="E235" t="s">
        <v>22</v>
      </c>
      <c r="F235">
        <v>45</v>
      </c>
      <c r="G235" t="s">
        <v>41</v>
      </c>
      <c r="H235" t="s">
        <v>42</v>
      </c>
      <c r="I235" t="s">
        <v>163</v>
      </c>
      <c r="J235" t="s">
        <v>234</v>
      </c>
      <c r="K235">
        <v>2</v>
      </c>
      <c r="L235">
        <v>999</v>
      </c>
      <c r="M235" s="3">
        <v>0.2</v>
      </c>
      <c r="N235">
        <v>1598.4</v>
      </c>
      <c r="O235">
        <v>1200</v>
      </c>
      <c r="P235">
        <v>398.4</v>
      </c>
      <c r="Q235" t="s">
        <v>69</v>
      </c>
      <c r="R235" t="s">
        <v>28</v>
      </c>
      <c r="S235">
        <v>3</v>
      </c>
    </row>
    <row r="236" spans="1:19">
      <c r="A236" t="s">
        <v>525</v>
      </c>
      <c r="B236" s="2">
        <v>45932</v>
      </c>
      <c r="C236" t="s">
        <v>79</v>
      </c>
      <c r="D236" t="s">
        <v>80</v>
      </c>
      <c r="E236" t="s">
        <v>22</v>
      </c>
      <c r="F236">
        <v>22</v>
      </c>
      <c r="G236" t="s">
        <v>81</v>
      </c>
      <c r="H236" t="s">
        <v>82</v>
      </c>
      <c r="I236" t="s">
        <v>117</v>
      </c>
      <c r="J236" t="s">
        <v>238</v>
      </c>
      <c r="K236">
        <v>1</v>
      </c>
      <c r="L236">
        <v>2499</v>
      </c>
      <c r="M236" s="3">
        <v>0</v>
      </c>
      <c r="N236">
        <v>2499</v>
      </c>
      <c r="O236">
        <v>1500</v>
      </c>
      <c r="P236">
        <v>999</v>
      </c>
      <c r="Q236" t="s">
        <v>27</v>
      </c>
      <c r="R236" t="s">
        <v>28</v>
      </c>
      <c r="S236">
        <v>2</v>
      </c>
    </row>
    <row r="237" spans="1:19">
      <c r="A237" t="s">
        <v>526</v>
      </c>
      <c r="B237" s="2">
        <v>45751</v>
      </c>
      <c r="C237" t="s">
        <v>527</v>
      </c>
      <c r="D237" t="s">
        <v>528</v>
      </c>
      <c r="E237" t="s">
        <v>22</v>
      </c>
      <c r="F237">
        <v>36</v>
      </c>
      <c r="G237" t="s">
        <v>93</v>
      </c>
      <c r="H237" t="s">
        <v>94</v>
      </c>
      <c r="I237" t="s">
        <v>163</v>
      </c>
      <c r="J237" t="s">
        <v>164</v>
      </c>
      <c r="K237">
        <v>3</v>
      </c>
      <c r="L237">
        <v>3499</v>
      </c>
      <c r="M237" s="3">
        <v>0</v>
      </c>
      <c r="N237">
        <v>10497</v>
      </c>
      <c r="O237">
        <v>6600</v>
      </c>
      <c r="P237">
        <v>3897</v>
      </c>
      <c r="Q237" t="s">
        <v>69</v>
      </c>
      <c r="R237" t="s">
        <v>77</v>
      </c>
      <c r="S237">
        <v>4</v>
      </c>
    </row>
    <row r="238" spans="1:19">
      <c r="A238" t="s">
        <v>529</v>
      </c>
      <c r="B238" s="2">
        <v>45747</v>
      </c>
      <c r="C238" t="s">
        <v>131</v>
      </c>
      <c r="D238" t="s">
        <v>132</v>
      </c>
      <c r="E238" t="s">
        <v>32</v>
      </c>
      <c r="F238">
        <v>44</v>
      </c>
      <c r="G238" t="s">
        <v>23</v>
      </c>
      <c r="H238" t="s">
        <v>24</v>
      </c>
      <c r="I238" t="s">
        <v>43</v>
      </c>
      <c r="J238" t="s">
        <v>197</v>
      </c>
      <c r="K238">
        <v>1</v>
      </c>
      <c r="L238">
        <v>1799</v>
      </c>
      <c r="M238" s="3">
        <v>0.05</v>
      </c>
      <c r="N238">
        <v>1709.05</v>
      </c>
      <c r="O238">
        <v>1050</v>
      </c>
      <c r="P238">
        <v>659.05</v>
      </c>
      <c r="Q238" t="s">
        <v>27</v>
      </c>
      <c r="R238" t="s">
        <v>28</v>
      </c>
      <c r="S238">
        <v>5</v>
      </c>
    </row>
    <row r="239" spans="1:19">
      <c r="A239" t="s">
        <v>530</v>
      </c>
      <c r="B239" s="2">
        <v>45684</v>
      </c>
      <c r="C239" t="s">
        <v>427</v>
      </c>
      <c r="D239" t="s">
        <v>248</v>
      </c>
      <c r="E239" t="s">
        <v>32</v>
      </c>
      <c r="F239">
        <v>33</v>
      </c>
      <c r="G239" t="s">
        <v>41</v>
      </c>
      <c r="H239" t="s">
        <v>42</v>
      </c>
      <c r="I239" t="s">
        <v>35</v>
      </c>
      <c r="J239" t="s">
        <v>108</v>
      </c>
      <c r="K239">
        <v>4</v>
      </c>
      <c r="L239">
        <v>699</v>
      </c>
      <c r="M239" s="3">
        <v>0</v>
      </c>
      <c r="N239">
        <v>2796</v>
      </c>
      <c r="O239">
        <v>1520</v>
      </c>
      <c r="P239">
        <v>1276</v>
      </c>
      <c r="Q239" t="s">
        <v>69</v>
      </c>
      <c r="R239" t="s">
        <v>28</v>
      </c>
      <c r="S239">
        <v>1</v>
      </c>
    </row>
    <row r="240" spans="1:19">
      <c r="A240" t="s">
        <v>531</v>
      </c>
      <c r="B240" s="2">
        <v>46081</v>
      </c>
      <c r="C240" t="s">
        <v>532</v>
      </c>
      <c r="D240" t="s">
        <v>533</v>
      </c>
      <c r="E240" t="s">
        <v>22</v>
      </c>
      <c r="F240">
        <v>32</v>
      </c>
      <c r="G240" t="s">
        <v>180</v>
      </c>
      <c r="H240" t="s">
        <v>181</v>
      </c>
      <c r="I240" t="s">
        <v>163</v>
      </c>
      <c r="J240" t="s">
        <v>290</v>
      </c>
      <c r="K240">
        <v>1</v>
      </c>
      <c r="L240">
        <v>1999</v>
      </c>
      <c r="M240" s="3">
        <v>0.1</v>
      </c>
      <c r="N240">
        <v>1799.1</v>
      </c>
      <c r="O240">
        <v>1200</v>
      </c>
      <c r="P240">
        <v>599.1</v>
      </c>
      <c r="Q240" t="s">
        <v>66</v>
      </c>
      <c r="R240" t="s">
        <v>28</v>
      </c>
      <c r="S240">
        <v>5</v>
      </c>
    </row>
    <row r="241" spans="1:19">
      <c r="A241" t="s">
        <v>534</v>
      </c>
      <c r="B241" s="2">
        <v>45831</v>
      </c>
      <c r="C241" t="s">
        <v>189</v>
      </c>
      <c r="D241" t="s">
        <v>190</v>
      </c>
      <c r="E241" t="s">
        <v>32</v>
      </c>
      <c r="F241">
        <v>22</v>
      </c>
      <c r="G241" t="s">
        <v>115</v>
      </c>
      <c r="H241" t="s">
        <v>116</v>
      </c>
      <c r="I241" t="s">
        <v>75</v>
      </c>
      <c r="J241" t="s">
        <v>86</v>
      </c>
      <c r="K241">
        <v>2</v>
      </c>
      <c r="L241">
        <v>499</v>
      </c>
      <c r="M241" s="3">
        <v>0.15</v>
      </c>
      <c r="N241">
        <v>848.3</v>
      </c>
      <c r="O241">
        <v>600</v>
      </c>
      <c r="P241">
        <v>248.3</v>
      </c>
      <c r="Q241" t="s">
        <v>27</v>
      </c>
      <c r="R241" t="s">
        <v>28</v>
      </c>
      <c r="S241">
        <v>3</v>
      </c>
    </row>
    <row r="242" spans="1:19">
      <c r="A242" t="s">
        <v>535</v>
      </c>
      <c r="B242" s="2">
        <v>46103</v>
      </c>
      <c r="C242" t="s">
        <v>230</v>
      </c>
      <c r="D242" t="s">
        <v>231</v>
      </c>
      <c r="E242" t="s">
        <v>32</v>
      </c>
      <c r="F242">
        <v>35</v>
      </c>
      <c r="G242" t="s">
        <v>55</v>
      </c>
      <c r="H242" t="s">
        <v>34</v>
      </c>
      <c r="I242" t="s">
        <v>25</v>
      </c>
      <c r="J242" t="s">
        <v>62</v>
      </c>
      <c r="K242">
        <v>1</v>
      </c>
      <c r="L242">
        <v>1299</v>
      </c>
      <c r="M242" s="3">
        <v>0.05</v>
      </c>
      <c r="N242">
        <v>1234.05</v>
      </c>
      <c r="O242">
        <v>800</v>
      </c>
      <c r="P242">
        <v>434.05</v>
      </c>
      <c r="Q242" t="s">
        <v>37</v>
      </c>
      <c r="R242" t="s">
        <v>28</v>
      </c>
      <c r="S242">
        <v>4</v>
      </c>
    </row>
    <row r="243" spans="1:19">
      <c r="A243" t="s">
        <v>536</v>
      </c>
      <c r="B243" s="2">
        <v>46165</v>
      </c>
      <c r="C243" t="s">
        <v>91</v>
      </c>
      <c r="D243" t="s">
        <v>92</v>
      </c>
      <c r="E243" t="s">
        <v>32</v>
      </c>
      <c r="F243">
        <v>43</v>
      </c>
      <c r="G243" t="s">
        <v>93</v>
      </c>
      <c r="H243" t="s">
        <v>94</v>
      </c>
      <c r="I243" t="s">
        <v>163</v>
      </c>
      <c r="J243" t="s">
        <v>214</v>
      </c>
      <c r="K243">
        <v>3</v>
      </c>
      <c r="L243">
        <v>1499</v>
      </c>
      <c r="M243" s="3">
        <v>0.05</v>
      </c>
      <c r="N243">
        <v>4272.1499999999996</v>
      </c>
      <c r="O243">
        <v>2700</v>
      </c>
      <c r="P243">
        <v>1572.15</v>
      </c>
      <c r="Q243" t="s">
        <v>50</v>
      </c>
      <c r="R243" t="s">
        <v>28</v>
      </c>
      <c r="S243">
        <v>4</v>
      </c>
    </row>
    <row r="244" spans="1:19">
      <c r="A244" t="s">
        <v>537</v>
      </c>
      <c r="B244" s="2">
        <v>46063</v>
      </c>
      <c r="C244" t="s">
        <v>453</v>
      </c>
      <c r="D244" t="s">
        <v>454</v>
      </c>
      <c r="E244" t="s">
        <v>32</v>
      </c>
      <c r="F244">
        <v>25</v>
      </c>
      <c r="G244" t="s">
        <v>141</v>
      </c>
      <c r="H244" t="s">
        <v>142</v>
      </c>
      <c r="I244" t="s">
        <v>25</v>
      </c>
      <c r="J244" t="s">
        <v>62</v>
      </c>
      <c r="K244">
        <v>3</v>
      </c>
      <c r="L244">
        <v>1299</v>
      </c>
      <c r="M244" s="3">
        <v>0</v>
      </c>
      <c r="N244">
        <v>3897</v>
      </c>
      <c r="O244">
        <v>2400</v>
      </c>
      <c r="P244">
        <v>1497</v>
      </c>
      <c r="Q244" t="s">
        <v>37</v>
      </c>
      <c r="R244" t="s">
        <v>137</v>
      </c>
      <c r="S244">
        <v>4</v>
      </c>
    </row>
    <row r="245" spans="1:19">
      <c r="A245" t="s">
        <v>538</v>
      </c>
      <c r="B245" s="2">
        <v>46266</v>
      </c>
      <c r="C245" t="s">
        <v>247</v>
      </c>
      <c r="D245" t="s">
        <v>248</v>
      </c>
      <c r="E245" t="s">
        <v>32</v>
      </c>
      <c r="F245">
        <v>35</v>
      </c>
      <c r="G245" t="s">
        <v>33</v>
      </c>
      <c r="H245" t="s">
        <v>34</v>
      </c>
      <c r="I245" t="s">
        <v>35</v>
      </c>
      <c r="J245" t="s">
        <v>136</v>
      </c>
      <c r="K245">
        <v>3</v>
      </c>
      <c r="L245">
        <v>799</v>
      </c>
      <c r="M245" s="3">
        <v>0.15</v>
      </c>
      <c r="N245">
        <v>2037.45</v>
      </c>
      <c r="O245">
        <v>1350</v>
      </c>
      <c r="P245">
        <v>687.45</v>
      </c>
      <c r="Q245" t="s">
        <v>27</v>
      </c>
      <c r="R245" t="s">
        <v>28</v>
      </c>
      <c r="S245">
        <v>5</v>
      </c>
    </row>
    <row r="246" spans="1:19">
      <c r="A246" t="s">
        <v>539</v>
      </c>
      <c r="B246" s="2">
        <v>46065</v>
      </c>
      <c r="C246" t="s">
        <v>216</v>
      </c>
      <c r="D246" t="s">
        <v>217</v>
      </c>
      <c r="E246" t="s">
        <v>22</v>
      </c>
      <c r="F246">
        <v>43</v>
      </c>
      <c r="G246" t="s">
        <v>115</v>
      </c>
      <c r="H246" t="s">
        <v>116</v>
      </c>
      <c r="I246" t="s">
        <v>35</v>
      </c>
      <c r="J246" t="s">
        <v>36</v>
      </c>
      <c r="K246">
        <v>3</v>
      </c>
      <c r="L246">
        <v>599</v>
      </c>
      <c r="M246" s="3">
        <v>0.05</v>
      </c>
      <c r="N246">
        <v>1707.15</v>
      </c>
      <c r="O246">
        <v>960</v>
      </c>
      <c r="P246">
        <v>747.15</v>
      </c>
      <c r="Q246" t="s">
        <v>37</v>
      </c>
      <c r="R246" t="s">
        <v>28</v>
      </c>
      <c r="S246">
        <v>4</v>
      </c>
    </row>
    <row r="247" spans="1:19">
      <c r="A247" t="s">
        <v>540</v>
      </c>
      <c r="B247" s="2">
        <v>45945</v>
      </c>
      <c r="C247" t="s">
        <v>71</v>
      </c>
      <c r="D247" t="s">
        <v>72</v>
      </c>
      <c r="E247" t="s">
        <v>32</v>
      </c>
      <c r="F247">
        <v>53</v>
      </c>
      <c r="G247" t="s">
        <v>73</v>
      </c>
      <c r="H247" t="s">
        <v>74</v>
      </c>
      <c r="I247" t="s">
        <v>43</v>
      </c>
      <c r="J247" t="s">
        <v>281</v>
      </c>
      <c r="K247">
        <v>3</v>
      </c>
      <c r="L247">
        <v>2999</v>
      </c>
      <c r="M247" s="3">
        <v>0.15</v>
      </c>
      <c r="N247">
        <v>7647.45</v>
      </c>
      <c r="O247">
        <v>5400</v>
      </c>
      <c r="P247">
        <v>2247.4499999999998</v>
      </c>
      <c r="Q247" t="s">
        <v>66</v>
      </c>
      <c r="R247" t="s">
        <v>28</v>
      </c>
      <c r="S247">
        <v>5</v>
      </c>
    </row>
    <row r="248" spans="1:19">
      <c r="A248" t="s">
        <v>541</v>
      </c>
      <c r="B248" s="2">
        <v>45685</v>
      </c>
      <c r="C248" t="s">
        <v>216</v>
      </c>
      <c r="D248" t="s">
        <v>217</v>
      </c>
      <c r="E248" t="s">
        <v>22</v>
      </c>
      <c r="F248">
        <v>43</v>
      </c>
      <c r="G248" t="s">
        <v>115</v>
      </c>
      <c r="H248" t="s">
        <v>116</v>
      </c>
      <c r="I248" t="s">
        <v>75</v>
      </c>
      <c r="J248" t="s">
        <v>86</v>
      </c>
      <c r="K248">
        <v>2</v>
      </c>
      <c r="L248">
        <v>499</v>
      </c>
      <c r="M248" s="3">
        <v>0.2</v>
      </c>
      <c r="N248">
        <v>798.4</v>
      </c>
      <c r="O248">
        <v>600</v>
      </c>
      <c r="P248">
        <v>198.4</v>
      </c>
      <c r="Q248" t="s">
        <v>66</v>
      </c>
      <c r="R248" t="s">
        <v>77</v>
      </c>
      <c r="S248">
        <v>2</v>
      </c>
    </row>
    <row r="249" spans="1:19">
      <c r="A249" t="s">
        <v>542</v>
      </c>
      <c r="B249" s="2">
        <v>46169</v>
      </c>
      <c r="C249" t="s">
        <v>345</v>
      </c>
      <c r="D249" t="s">
        <v>346</v>
      </c>
      <c r="E249" t="s">
        <v>32</v>
      </c>
      <c r="F249">
        <v>33</v>
      </c>
      <c r="G249" t="s">
        <v>73</v>
      </c>
      <c r="H249" t="s">
        <v>74</v>
      </c>
      <c r="I249" t="s">
        <v>43</v>
      </c>
      <c r="J249" t="s">
        <v>44</v>
      </c>
      <c r="K249">
        <v>1</v>
      </c>
      <c r="L249">
        <v>1599</v>
      </c>
      <c r="M249" s="3">
        <v>0.15</v>
      </c>
      <c r="N249">
        <v>1359.15</v>
      </c>
      <c r="O249">
        <v>950</v>
      </c>
      <c r="P249">
        <v>409.15</v>
      </c>
      <c r="Q249" t="s">
        <v>27</v>
      </c>
      <c r="R249" t="s">
        <v>28</v>
      </c>
      <c r="S249">
        <v>2</v>
      </c>
    </row>
    <row r="250" spans="1:19">
      <c r="A250" t="s">
        <v>543</v>
      </c>
      <c r="B250" s="2">
        <v>46044</v>
      </c>
      <c r="C250" t="s">
        <v>209</v>
      </c>
      <c r="D250" t="s">
        <v>210</v>
      </c>
      <c r="E250" t="s">
        <v>32</v>
      </c>
      <c r="F250">
        <v>26</v>
      </c>
      <c r="G250" t="s">
        <v>23</v>
      </c>
      <c r="H250" t="s">
        <v>24</v>
      </c>
      <c r="I250" t="s">
        <v>117</v>
      </c>
      <c r="J250" t="s">
        <v>118</v>
      </c>
      <c r="K250">
        <v>2</v>
      </c>
      <c r="L250">
        <v>999</v>
      </c>
      <c r="M250" s="3">
        <v>0.15</v>
      </c>
      <c r="N250">
        <v>1698.3</v>
      </c>
      <c r="O250">
        <v>1100</v>
      </c>
      <c r="P250">
        <v>598.29999999999995</v>
      </c>
      <c r="Q250" t="s">
        <v>69</v>
      </c>
      <c r="R250" t="s">
        <v>28</v>
      </c>
      <c r="S250">
        <v>5</v>
      </c>
    </row>
    <row r="251" spans="1:19">
      <c r="A251" t="s">
        <v>544</v>
      </c>
      <c r="B251" s="2">
        <v>46176</v>
      </c>
      <c r="C251" t="s">
        <v>448</v>
      </c>
      <c r="D251" t="s">
        <v>449</v>
      </c>
      <c r="E251" t="s">
        <v>22</v>
      </c>
      <c r="F251">
        <v>43</v>
      </c>
      <c r="G251" t="s">
        <v>81</v>
      </c>
      <c r="H251" t="s">
        <v>82</v>
      </c>
      <c r="I251" t="s">
        <v>75</v>
      </c>
      <c r="J251" t="s">
        <v>86</v>
      </c>
      <c r="K251">
        <v>4</v>
      </c>
      <c r="L251">
        <v>499</v>
      </c>
      <c r="M251" s="3">
        <v>0.2</v>
      </c>
      <c r="N251">
        <v>1596.8</v>
      </c>
      <c r="O251">
        <v>1200</v>
      </c>
      <c r="P251">
        <v>396.8</v>
      </c>
      <c r="Q251" t="s">
        <v>66</v>
      </c>
      <c r="R251" t="s">
        <v>28</v>
      </c>
      <c r="S251">
        <v>3</v>
      </c>
    </row>
    <row r="252" spans="1:19">
      <c r="A252" t="s">
        <v>545</v>
      </c>
      <c r="B252" s="2">
        <v>45912</v>
      </c>
      <c r="C252" t="s">
        <v>467</v>
      </c>
      <c r="D252" t="s">
        <v>322</v>
      </c>
      <c r="E252" t="s">
        <v>32</v>
      </c>
      <c r="F252">
        <v>41</v>
      </c>
      <c r="G252" t="s">
        <v>55</v>
      </c>
      <c r="H252" t="s">
        <v>34</v>
      </c>
      <c r="I252" t="s">
        <v>75</v>
      </c>
      <c r="J252" t="s">
        <v>106</v>
      </c>
      <c r="K252">
        <v>1</v>
      </c>
      <c r="L252">
        <v>899</v>
      </c>
      <c r="M252" s="3">
        <v>0</v>
      </c>
      <c r="N252">
        <v>899</v>
      </c>
      <c r="O252">
        <v>600</v>
      </c>
      <c r="P252">
        <v>299</v>
      </c>
      <c r="Q252" t="s">
        <v>37</v>
      </c>
      <c r="R252" t="s">
        <v>28</v>
      </c>
      <c r="S252">
        <v>5</v>
      </c>
    </row>
    <row r="253" spans="1:19">
      <c r="A253" t="s">
        <v>546</v>
      </c>
      <c r="B253" s="2">
        <v>46098</v>
      </c>
      <c r="C253" t="s">
        <v>166</v>
      </c>
      <c r="D253" t="s">
        <v>167</v>
      </c>
      <c r="E253" t="s">
        <v>22</v>
      </c>
      <c r="F253">
        <v>36</v>
      </c>
      <c r="G253" t="s">
        <v>146</v>
      </c>
      <c r="H253" t="s">
        <v>61</v>
      </c>
      <c r="I253" t="s">
        <v>75</v>
      </c>
      <c r="J253" t="s">
        <v>86</v>
      </c>
      <c r="K253">
        <v>4</v>
      </c>
      <c r="L253">
        <v>499</v>
      </c>
      <c r="M253" s="3">
        <v>0.1</v>
      </c>
      <c r="N253">
        <v>1796.4</v>
      </c>
      <c r="O253">
        <v>1200</v>
      </c>
      <c r="P253">
        <v>596.4</v>
      </c>
      <c r="Q253" t="s">
        <v>69</v>
      </c>
      <c r="R253" t="s">
        <v>28</v>
      </c>
      <c r="S253">
        <v>3</v>
      </c>
    </row>
    <row r="254" spans="1:19">
      <c r="A254" t="s">
        <v>547</v>
      </c>
      <c r="B254" s="2">
        <v>46041</v>
      </c>
      <c r="C254" t="s">
        <v>310</v>
      </c>
      <c r="D254" t="s">
        <v>311</v>
      </c>
      <c r="E254" t="s">
        <v>32</v>
      </c>
      <c r="F254">
        <v>50</v>
      </c>
      <c r="G254" t="s">
        <v>81</v>
      </c>
      <c r="H254" t="s">
        <v>82</v>
      </c>
      <c r="I254" t="s">
        <v>35</v>
      </c>
      <c r="J254" t="s">
        <v>108</v>
      </c>
      <c r="K254">
        <v>2</v>
      </c>
      <c r="L254">
        <v>699</v>
      </c>
      <c r="M254" s="3">
        <v>0.15</v>
      </c>
      <c r="N254">
        <v>1188.3</v>
      </c>
      <c r="O254">
        <v>760</v>
      </c>
      <c r="P254">
        <v>428.3</v>
      </c>
      <c r="Q254" t="s">
        <v>66</v>
      </c>
      <c r="R254" t="s">
        <v>28</v>
      </c>
      <c r="S254">
        <v>5</v>
      </c>
    </row>
    <row r="255" spans="1:19">
      <c r="A255" t="s">
        <v>548</v>
      </c>
      <c r="B255" s="2">
        <v>46152</v>
      </c>
      <c r="C255" t="s">
        <v>304</v>
      </c>
      <c r="D255" t="s">
        <v>305</v>
      </c>
      <c r="E255" t="s">
        <v>32</v>
      </c>
      <c r="F255">
        <v>32</v>
      </c>
      <c r="G255" t="s">
        <v>146</v>
      </c>
      <c r="H255" t="s">
        <v>61</v>
      </c>
      <c r="I255" t="s">
        <v>25</v>
      </c>
      <c r="J255" t="s">
        <v>62</v>
      </c>
      <c r="K255">
        <v>3</v>
      </c>
      <c r="L255">
        <v>1299</v>
      </c>
      <c r="M255" s="3">
        <v>0</v>
      </c>
      <c r="N255">
        <v>3897</v>
      </c>
      <c r="O255">
        <v>2400</v>
      </c>
      <c r="P255">
        <v>1497</v>
      </c>
      <c r="Q255" t="s">
        <v>69</v>
      </c>
      <c r="R255" t="s">
        <v>28</v>
      </c>
      <c r="S255">
        <v>1</v>
      </c>
    </row>
    <row r="256" spans="1:19">
      <c r="A256" t="s">
        <v>549</v>
      </c>
      <c r="B256" s="2">
        <v>45977</v>
      </c>
      <c r="C256" t="s">
        <v>254</v>
      </c>
      <c r="D256" t="s">
        <v>255</v>
      </c>
      <c r="E256" t="s">
        <v>22</v>
      </c>
      <c r="F256">
        <v>50</v>
      </c>
      <c r="G256" t="s">
        <v>141</v>
      </c>
      <c r="H256" t="s">
        <v>142</v>
      </c>
      <c r="I256" t="s">
        <v>117</v>
      </c>
      <c r="J256" t="s">
        <v>152</v>
      </c>
      <c r="K256">
        <v>2</v>
      </c>
      <c r="L256">
        <v>899</v>
      </c>
      <c r="M256" s="3">
        <v>0.1</v>
      </c>
      <c r="N256">
        <v>1618.2</v>
      </c>
      <c r="O256">
        <v>1000</v>
      </c>
      <c r="P256">
        <v>618.20000000000005</v>
      </c>
      <c r="Q256" t="s">
        <v>37</v>
      </c>
      <c r="R256" t="s">
        <v>28</v>
      </c>
      <c r="S256">
        <v>2</v>
      </c>
    </row>
    <row r="257" spans="1:19">
      <c r="A257" t="s">
        <v>550</v>
      </c>
      <c r="B257" s="2">
        <v>45757</v>
      </c>
      <c r="C257" t="s">
        <v>329</v>
      </c>
      <c r="D257" t="s">
        <v>330</v>
      </c>
      <c r="E257" t="s">
        <v>22</v>
      </c>
      <c r="F257">
        <v>28</v>
      </c>
      <c r="G257" t="s">
        <v>81</v>
      </c>
      <c r="H257" t="s">
        <v>82</v>
      </c>
      <c r="I257" t="s">
        <v>35</v>
      </c>
      <c r="J257" t="s">
        <v>36</v>
      </c>
      <c r="K257">
        <v>3</v>
      </c>
      <c r="L257">
        <v>599</v>
      </c>
      <c r="M257" s="3">
        <v>0.15</v>
      </c>
      <c r="N257">
        <v>1527.45</v>
      </c>
      <c r="O257">
        <v>960</v>
      </c>
      <c r="P257">
        <v>567.45000000000005</v>
      </c>
      <c r="Q257" t="s">
        <v>66</v>
      </c>
      <c r="R257" t="s">
        <v>28</v>
      </c>
      <c r="S257">
        <v>4</v>
      </c>
    </row>
    <row r="258" spans="1:19">
      <c r="A258" t="s">
        <v>551</v>
      </c>
      <c r="B258" s="2">
        <v>45775</v>
      </c>
      <c r="C258" t="s">
        <v>357</v>
      </c>
      <c r="D258" t="s">
        <v>237</v>
      </c>
      <c r="E258" t="s">
        <v>22</v>
      </c>
      <c r="F258">
        <v>42</v>
      </c>
      <c r="G258" t="s">
        <v>251</v>
      </c>
      <c r="H258" t="s">
        <v>251</v>
      </c>
      <c r="I258" t="s">
        <v>25</v>
      </c>
      <c r="J258" t="s">
        <v>26</v>
      </c>
      <c r="K258">
        <v>3</v>
      </c>
      <c r="L258">
        <v>2499</v>
      </c>
      <c r="M258" s="3">
        <v>0</v>
      </c>
      <c r="N258">
        <v>7497</v>
      </c>
      <c r="O258">
        <v>4800</v>
      </c>
      <c r="P258">
        <v>2697</v>
      </c>
      <c r="Q258" t="s">
        <v>69</v>
      </c>
      <c r="R258" t="s">
        <v>137</v>
      </c>
      <c r="S258">
        <v>1</v>
      </c>
    </row>
    <row r="259" spans="1:19">
      <c r="A259" t="s">
        <v>552</v>
      </c>
      <c r="B259" s="2">
        <v>45836</v>
      </c>
      <c r="C259" t="s">
        <v>553</v>
      </c>
      <c r="D259" t="s">
        <v>554</v>
      </c>
      <c r="E259" t="s">
        <v>22</v>
      </c>
      <c r="F259">
        <v>54</v>
      </c>
      <c r="G259" t="s">
        <v>23</v>
      </c>
      <c r="H259" t="s">
        <v>24</v>
      </c>
      <c r="I259" t="s">
        <v>117</v>
      </c>
      <c r="J259" t="s">
        <v>152</v>
      </c>
      <c r="K259">
        <v>2</v>
      </c>
      <c r="L259">
        <v>899</v>
      </c>
      <c r="M259" s="3">
        <v>0.2</v>
      </c>
      <c r="N259">
        <v>1438.4</v>
      </c>
      <c r="O259">
        <v>1000</v>
      </c>
      <c r="P259">
        <v>438.4</v>
      </c>
      <c r="Q259" t="s">
        <v>50</v>
      </c>
      <c r="R259" t="s">
        <v>28</v>
      </c>
      <c r="S259">
        <v>5</v>
      </c>
    </row>
    <row r="260" spans="1:19">
      <c r="A260" t="s">
        <v>555</v>
      </c>
      <c r="B260" s="2">
        <v>45846</v>
      </c>
      <c r="C260" t="s">
        <v>488</v>
      </c>
      <c r="D260" t="s">
        <v>489</v>
      </c>
      <c r="E260" t="s">
        <v>22</v>
      </c>
      <c r="F260">
        <v>48</v>
      </c>
      <c r="G260" t="s">
        <v>115</v>
      </c>
      <c r="H260" t="s">
        <v>116</v>
      </c>
      <c r="I260" t="s">
        <v>35</v>
      </c>
      <c r="J260" t="s">
        <v>136</v>
      </c>
      <c r="K260">
        <v>2</v>
      </c>
      <c r="L260">
        <v>799</v>
      </c>
      <c r="M260" s="3">
        <v>0.15</v>
      </c>
      <c r="N260">
        <v>1358.3</v>
      </c>
      <c r="O260">
        <v>900</v>
      </c>
      <c r="P260">
        <v>458.3</v>
      </c>
      <c r="Q260" t="s">
        <v>27</v>
      </c>
      <c r="R260" t="s">
        <v>28</v>
      </c>
      <c r="S260">
        <v>4</v>
      </c>
    </row>
    <row r="261" spans="1:19">
      <c r="A261" t="s">
        <v>556</v>
      </c>
      <c r="B261" s="2">
        <v>46264</v>
      </c>
      <c r="C261" t="s">
        <v>220</v>
      </c>
      <c r="D261" t="s">
        <v>221</v>
      </c>
      <c r="E261" t="s">
        <v>22</v>
      </c>
      <c r="F261">
        <v>27</v>
      </c>
      <c r="G261" t="s">
        <v>141</v>
      </c>
      <c r="H261" t="s">
        <v>142</v>
      </c>
      <c r="I261" t="s">
        <v>25</v>
      </c>
      <c r="J261" t="s">
        <v>156</v>
      </c>
      <c r="K261">
        <v>2</v>
      </c>
      <c r="L261">
        <v>1999</v>
      </c>
      <c r="M261" s="3">
        <v>0.15</v>
      </c>
      <c r="N261">
        <v>3398.3</v>
      </c>
      <c r="O261">
        <v>2600</v>
      </c>
      <c r="P261">
        <v>798.3</v>
      </c>
      <c r="Q261" t="s">
        <v>66</v>
      </c>
      <c r="R261" t="s">
        <v>28</v>
      </c>
      <c r="S261">
        <v>2</v>
      </c>
    </row>
    <row r="262" spans="1:19">
      <c r="A262" t="s">
        <v>557</v>
      </c>
      <c r="B262" s="2">
        <v>45762</v>
      </c>
      <c r="C262" t="s">
        <v>413</v>
      </c>
      <c r="D262" t="s">
        <v>414</v>
      </c>
      <c r="E262" t="s">
        <v>22</v>
      </c>
      <c r="F262">
        <v>42</v>
      </c>
      <c r="G262" t="s">
        <v>33</v>
      </c>
      <c r="H262" t="s">
        <v>34</v>
      </c>
      <c r="I262" t="s">
        <v>43</v>
      </c>
      <c r="J262" t="s">
        <v>197</v>
      </c>
      <c r="K262">
        <v>1</v>
      </c>
      <c r="L262">
        <v>1799</v>
      </c>
      <c r="M262" s="3">
        <v>0.2</v>
      </c>
      <c r="N262">
        <v>1439.2</v>
      </c>
      <c r="O262">
        <v>1050</v>
      </c>
      <c r="P262">
        <v>389.2</v>
      </c>
      <c r="Q262" t="s">
        <v>50</v>
      </c>
      <c r="R262" t="s">
        <v>28</v>
      </c>
      <c r="S262">
        <v>3</v>
      </c>
    </row>
    <row r="263" spans="1:19">
      <c r="A263" t="s">
        <v>558</v>
      </c>
      <c r="B263" s="2">
        <v>46159</v>
      </c>
      <c r="C263" t="s">
        <v>405</v>
      </c>
      <c r="D263" t="s">
        <v>213</v>
      </c>
      <c r="E263" t="s">
        <v>22</v>
      </c>
      <c r="F263">
        <v>28</v>
      </c>
      <c r="G263" t="s">
        <v>60</v>
      </c>
      <c r="H263" t="s">
        <v>61</v>
      </c>
      <c r="I263" t="s">
        <v>35</v>
      </c>
      <c r="J263" t="s">
        <v>136</v>
      </c>
      <c r="K263">
        <v>1</v>
      </c>
      <c r="L263">
        <v>799</v>
      </c>
      <c r="M263" s="3">
        <v>0.1</v>
      </c>
      <c r="N263">
        <v>719.1</v>
      </c>
      <c r="O263">
        <v>450</v>
      </c>
      <c r="P263">
        <v>269.10000000000002</v>
      </c>
      <c r="Q263" t="s">
        <v>50</v>
      </c>
      <c r="R263" t="s">
        <v>51</v>
      </c>
      <c r="S263">
        <v>3</v>
      </c>
    </row>
    <row r="264" spans="1:19">
      <c r="A264" t="s">
        <v>559</v>
      </c>
      <c r="B264" s="2">
        <v>45774</v>
      </c>
      <c r="C264" t="s">
        <v>527</v>
      </c>
      <c r="D264" t="s">
        <v>528</v>
      </c>
      <c r="E264" t="s">
        <v>22</v>
      </c>
      <c r="F264">
        <v>36</v>
      </c>
      <c r="G264" t="s">
        <v>93</v>
      </c>
      <c r="H264" t="s">
        <v>94</v>
      </c>
      <c r="I264" t="s">
        <v>75</v>
      </c>
      <c r="J264" t="s">
        <v>106</v>
      </c>
      <c r="K264">
        <v>4</v>
      </c>
      <c r="L264">
        <v>899</v>
      </c>
      <c r="M264" s="3">
        <v>0.2</v>
      </c>
      <c r="N264">
        <v>2876.8</v>
      </c>
      <c r="O264">
        <v>2400</v>
      </c>
      <c r="P264">
        <v>476.8</v>
      </c>
      <c r="Q264" t="s">
        <v>37</v>
      </c>
      <c r="R264" t="s">
        <v>28</v>
      </c>
      <c r="S264">
        <v>4</v>
      </c>
    </row>
    <row r="265" spans="1:19">
      <c r="A265" t="s">
        <v>560</v>
      </c>
      <c r="B265" s="2">
        <v>46262</v>
      </c>
      <c r="C265" t="s">
        <v>458</v>
      </c>
      <c r="D265" t="s">
        <v>459</v>
      </c>
      <c r="E265" t="s">
        <v>32</v>
      </c>
      <c r="F265">
        <v>40</v>
      </c>
      <c r="G265" t="s">
        <v>60</v>
      </c>
      <c r="H265" t="s">
        <v>61</v>
      </c>
      <c r="I265" t="s">
        <v>117</v>
      </c>
      <c r="J265" t="s">
        <v>118</v>
      </c>
      <c r="K265">
        <v>3</v>
      </c>
      <c r="L265">
        <v>999</v>
      </c>
      <c r="M265" s="3">
        <v>0.2</v>
      </c>
      <c r="N265">
        <v>2397.6</v>
      </c>
      <c r="O265">
        <v>1650</v>
      </c>
      <c r="P265">
        <v>747.6</v>
      </c>
      <c r="Q265" t="s">
        <v>69</v>
      </c>
      <c r="R265" t="s">
        <v>28</v>
      </c>
      <c r="S265">
        <v>3</v>
      </c>
    </row>
    <row r="266" spans="1:19">
      <c r="A266" t="s">
        <v>561</v>
      </c>
      <c r="B266" s="2">
        <v>45845</v>
      </c>
      <c r="C266" t="s">
        <v>562</v>
      </c>
      <c r="D266" t="s">
        <v>563</v>
      </c>
      <c r="E266" t="s">
        <v>22</v>
      </c>
      <c r="F266">
        <v>27</v>
      </c>
      <c r="G266" t="s">
        <v>180</v>
      </c>
      <c r="H266" t="s">
        <v>181</v>
      </c>
      <c r="I266" t="s">
        <v>43</v>
      </c>
      <c r="J266" t="s">
        <v>281</v>
      </c>
      <c r="K266">
        <v>3</v>
      </c>
      <c r="L266">
        <v>2999</v>
      </c>
      <c r="M266" s="3">
        <v>0</v>
      </c>
      <c r="N266">
        <v>8997</v>
      </c>
      <c r="O266">
        <v>5400</v>
      </c>
      <c r="P266">
        <v>3597</v>
      </c>
      <c r="Q266" t="s">
        <v>37</v>
      </c>
      <c r="R266" t="s">
        <v>28</v>
      </c>
      <c r="S266">
        <v>5</v>
      </c>
    </row>
    <row r="267" spans="1:19">
      <c r="A267" t="s">
        <v>564</v>
      </c>
      <c r="B267" s="2">
        <v>46050</v>
      </c>
      <c r="C267" t="s">
        <v>527</v>
      </c>
      <c r="D267" t="s">
        <v>528</v>
      </c>
      <c r="E267" t="s">
        <v>22</v>
      </c>
      <c r="F267">
        <v>36</v>
      </c>
      <c r="G267" t="s">
        <v>93</v>
      </c>
      <c r="H267" t="s">
        <v>94</v>
      </c>
      <c r="I267" t="s">
        <v>163</v>
      </c>
      <c r="J267" t="s">
        <v>234</v>
      </c>
      <c r="K267">
        <v>2</v>
      </c>
      <c r="L267">
        <v>999</v>
      </c>
      <c r="M267" s="3">
        <v>0.2</v>
      </c>
      <c r="N267">
        <v>1598.4</v>
      </c>
      <c r="O267">
        <v>1200</v>
      </c>
      <c r="P267">
        <v>398.4</v>
      </c>
      <c r="Q267" t="s">
        <v>66</v>
      </c>
      <c r="R267" t="s">
        <v>28</v>
      </c>
      <c r="S267">
        <v>5</v>
      </c>
    </row>
    <row r="268" spans="1:19">
      <c r="A268" t="s">
        <v>565</v>
      </c>
      <c r="B268" s="2">
        <v>45953</v>
      </c>
      <c r="C268" t="s">
        <v>458</v>
      </c>
      <c r="D268" t="s">
        <v>459</v>
      </c>
      <c r="E268" t="s">
        <v>32</v>
      </c>
      <c r="F268">
        <v>40</v>
      </c>
      <c r="G268" t="s">
        <v>60</v>
      </c>
      <c r="H268" t="s">
        <v>61</v>
      </c>
      <c r="I268" t="s">
        <v>35</v>
      </c>
      <c r="J268" t="s">
        <v>126</v>
      </c>
      <c r="K268">
        <v>2</v>
      </c>
      <c r="L268">
        <v>1499</v>
      </c>
      <c r="M268" s="3">
        <v>0.15</v>
      </c>
      <c r="N268">
        <v>2548.3000000000002</v>
      </c>
      <c r="O268">
        <v>1700</v>
      </c>
      <c r="P268">
        <v>848.3</v>
      </c>
      <c r="Q268" t="s">
        <v>27</v>
      </c>
      <c r="R268" t="s">
        <v>28</v>
      </c>
      <c r="S268">
        <v>4</v>
      </c>
    </row>
    <row r="269" spans="1:19">
      <c r="A269" t="s">
        <v>566</v>
      </c>
      <c r="B269" s="2">
        <v>45797</v>
      </c>
      <c r="C269" t="s">
        <v>332</v>
      </c>
      <c r="D269" t="s">
        <v>333</v>
      </c>
      <c r="E269" t="s">
        <v>32</v>
      </c>
      <c r="F269">
        <v>28</v>
      </c>
      <c r="G269" t="s">
        <v>93</v>
      </c>
      <c r="H269" t="s">
        <v>94</v>
      </c>
      <c r="I269" t="s">
        <v>163</v>
      </c>
      <c r="J269" t="s">
        <v>214</v>
      </c>
      <c r="K269">
        <v>1</v>
      </c>
      <c r="L269">
        <v>1499</v>
      </c>
      <c r="M269" s="3">
        <v>0.15</v>
      </c>
      <c r="N269">
        <v>1274.1500000000001</v>
      </c>
      <c r="O269">
        <v>900</v>
      </c>
      <c r="P269">
        <v>374.15</v>
      </c>
      <c r="Q269" t="s">
        <v>27</v>
      </c>
      <c r="R269" t="s">
        <v>137</v>
      </c>
      <c r="S269">
        <v>4</v>
      </c>
    </row>
    <row r="270" spans="1:19">
      <c r="A270" t="s">
        <v>567</v>
      </c>
      <c r="B270" s="2">
        <v>46112</v>
      </c>
      <c r="C270" t="s">
        <v>568</v>
      </c>
      <c r="D270" t="s">
        <v>569</v>
      </c>
      <c r="E270" t="s">
        <v>22</v>
      </c>
      <c r="F270">
        <v>18</v>
      </c>
      <c r="G270" t="s">
        <v>48</v>
      </c>
      <c r="H270" t="s">
        <v>42</v>
      </c>
      <c r="I270" t="s">
        <v>117</v>
      </c>
      <c r="J270" t="s">
        <v>118</v>
      </c>
      <c r="K270">
        <v>4</v>
      </c>
      <c r="L270">
        <v>999</v>
      </c>
      <c r="M270" s="3">
        <v>0.15</v>
      </c>
      <c r="N270">
        <v>3396.6</v>
      </c>
      <c r="O270">
        <v>2200</v>
      </c>
      <c r="P270">
        <v>1196.5999999999999</v>
      </c>
      <c r="Q270" t="s">
        <v>66</v>
      </c>
      <c r="R270" t="s">
        <v>28</v>
      </c>
      <c r="S270">
        <v>5</v>
      </c>
    </row>
    <row r="271" spans="1:19">
      <c r="A271" t="s">
        <v>570</v>
      </c>
      <c r="B271" s="2">
        <v>45939</v>
      </c>
      <c r="C271" t="s">
        <v>186</v>
      </c>
      <c r="D271" t="s">
        <v>187</v>
      </c>
      <c r="E271" t="s">
        <v>22</v>
      </c>
      <c r="F271">
        <v>42</v>
      </c>
      <c r="G271" t="s">
        <v>60</v>
      </c>
      <c r="H271" t="s">
        <v>61</v>
      </c>
      <c r="I271" t="s">
        <v>43</v>
      </c>
      <c r="J271" t="s">
        <v>281</v>
      </c>
      <c r="K271">
        <v>3</v>
      </c>
      <c r="L271">
        <v>2999</v>
      </c>
      <c r="M271" s="3">
        <v>0</v>
      </c>
      <c r="N271">
        <v>8997</v>
      </c>
      <c r="O271">
        <v>5400</v>
      </c>
      <c r="P271">
        <v>3597</v>
      </c>
      <c r="Q271" t="s">
        <v>27</v>
      </c>
      <c r="R271" t="s">
        <v>28</v>
      </c>
      <c r="S271">
        <v>2</v>
      </c>
    </row>
    <row r="272" spans="1:19">
      <c r="A272" t="s">
        <v>571</v>
      </c>
      <c r="B272" s="2">
        <v>46181</v>
      </c>
      <c r="C272" t="s">
        <v>195</v>
      </c>
      <c r="D272" t="s">
        <v>196</v>
      </c>
      <c r="E272" t="s">
        <v>22</v>
      </c>
      <c r="F272">
        <v>54</v>
      </c>
      <c r="G272" t="s">
        <v>73</v>
      </c>
      <c r="H272" t="s">
        <v>74</v>
      </c>
      <c r="I272" t="s">
        <v>75</v>
      </c>
      <c r="J272" t="s">
        <v>86</v>
      </c>
      <c r="K272">
        <v>4</v>
      </c>
      <c r="L272">
        <v>499</v>
      </c>
      <c r="M272" s="3">
        <v>0.2</v>
      </c>
      <c r="N272">
        <v>1596.8</v>
      </c>
      <c r="O272">
        <v>1200</v>
      </c>
      <c r="P272">
        <v>396.8</v>
      </c>
      <c r="Q272" t="s">
        <v>69</v>
      </c>
      <c r="R272" t="s">
        <v>28</v>
      </c>
      <c r="S272">
        <v>3</v>
      </c>
    </row>
    <row r="273" spans="1:19">
      <c r="A273" t="s">
        <v>572</v>
      </c>
      <c r="B273" s="2">
        <v>46217</v>
      </c>
      <c r="C273" t="s">
        <v>573</v>
      </c>
      <c r="D273" t="s">
        <v>92</v>
      </c>
      <c r="E273" t="s">
        <v>32</v>
      </c>
      <c r="F273">
        <v>41</v>
      </c>
      <c r="G273" t="s">
        <v>60</v>
      </c>
      <c r="H273" t="s">
        <v>61</v>
      </c>
      <c r="I273" t="s">
        <v>163</v>
      </c>
      <c r="J273" t="s">
        <v>214</v>
      </c>
      <c r="K273">
        <v>1</v>
      </c>
      <c r="L273">
        <v>1499</v>
      </c>
      <c r="M273" s="3">
        <v>0.15</v>
      </c>
      <c r="N273">
        <v>1274.1500000000001</v>
      </c>
      <c r="O273">
        <v>900</v>
      </c>
      <c r="P273">
        <v>374.15</v>
      </c>
      <c r="Q273" t="s">
        <v>27</v>
      </c>
      <c r="R273" t="s">
        <v>51</v>
      </c>
      <c r="S273">
        <v>1</v>
      </c>
    </row>
    <row r="274" spans="1:19">
      <c r="A274" t="s">
        <v>574</v>
      </c>
      <c r="B274" s="2">
        <v>45927</v>
      </c>
      <c r="C274" t="s">
        <v>79</v>
      </c>
      <c r="D274" t="s">
        <v>80</v>
      </c>
      <c r="E274" t="s">
        <v>22</v>
      </c>
      <c r="F274">
        <v>22</v>
      </c>
      <c r="G274" t="s">
        <v>81</v>
      </c>
      <c r="H274" t="s">
        <v>82</v>
      </c>
      <c r="I274" t="s">
        <v>43</v>
      </c>
      <c r="J274" t="s">
        <v>44</v>
      </c>
      <c r="K274">
        <v>1</v>
      </c>
      <c r="L274">
        <v>1599</v>
      </c>
      <c r="M274" s="3">
        <v>0.15</v>
      </c>
      <c r="N274">
        <v>1359.15</v>
      </c>
      <c r="O274">
        <v>950</v>
      </c>
      <c r="P274">
        <v>409.15</v>
      </c>
      <c r="Q274" t="s">
        <v>37</v>
      </c>
      <c r="R274" t="s">
        <v>137</v>
      </c>
      <c r="S274">
        <v>1</v>
      </c>
    </row>
    <row r="275" spans="1:19">
      <c r="A275" t="s">
        <v>575</v>
      </c>
      <c r="B275" s="2">
        <v>46260</v>
      </c>
      <c r="C275" t="s">
        <v>345</v>
      </c>
      <c r="D275" t="s">
        <v>346</v>
      </c>
      <c r="E275" t="s">
        <v>32</v>
      </c>
      <c r="F275">
        <v>33</v>
      </c>
      <c r="G275" t="s">
        <v>73</v>
      </c>
      <c r="H275" t="s">
        <v>74</v>
      </c>
      <c r="I275" t="s">
        <v>25</v>
      </c>
      <c r="J275" t="s">
        <v>56</v>
      </c>
      <c r="K275">
        <v>2</v>
      </c>
      <c r="L275">
        <v>899</v>
      </c>
      <c r="M275" s="3">
        <v>0.05</v>
      </c>
      <c r="N275">
        <v>1708.1</v>
      </c>
      <c r="O275">
        <v>1100</v>
      </c>
      <c r="P275">
        <v>608.1</v>
      </c>
      <c r="Q275" t="s">
        <v>37</v>
      </c>
      <c r="R275" t="s">
        <v>137</v>
      </c>
      <c r="S275">
        <v>4</v>
      </c>
    </row>
    <row r="276" spans="1:19">
      <c r="A276" t="s">
        <v>576</v>
      </c>
      <c r="B276" s="2">
        <v>45869</v>
      </c>
      <c r="C276" t="s">
        <v>553</v>
      </c>
      <c r="D276" t="s">
        <v>554</v>
      </c>
      <c r="E276" t="s">
        <v>22</v>
      </c>
      <c r="F276">
        <v>54</v>
      </c>
      <c r="G276" t="s">
        <v>23</v>
      </c>
      <c r="H276" t="s">
        <v>24</v>
      </c>
      <c r="I276" t="s">
        <v>75</v>
      </c>
      <c r="J276" t="s">
        <v>106</v>
      </c>
      <c r="K276">
        <v>2</v>
      </c>
      <c r="L276">
        <v>899</v>
      </c>
      <c r="M276" s="3">
        <v>0.05</v>
      </c>
      <c r="N276">
        <v>1708.1</v>
      </c>
      <c r="O276">
        <v>1200</v>
      </c>
      <c r="P276">
        <v>508.1</v>
      </c>
      <c r="Q276" t="s">
        <v>69</v>
      </c>
      <c r="R276" t="s">
        <v>28</v>
      </c>
      <c r="S276">
        <v>5</v>
      </c>
    </row>
    <row r="277" spans="1:19">
      <c r="A277" t="s">
        <v>577</v>
      </c>
      <c r="B277" s="2">
        <v>45957</v>
      </c>
      <c r="C277" t="s">
        <v>120</v>
      </c>
      <c r="D277" t="s">
        <v>121</v>
      </c>
      <c r="E277" t="s">
        <v>32</v>
      </c>
      <c r="F277">
        <v>35</v>
      </c>
      <c r="G277" t="s">
        <v>93</v>
      </c>
      <c r="H277" t="s">
        <v>94</v>
      </c>
      <c r="I277" t="s">
        <v>75</v>
      </c>
      <c r="J277" t="s">
        <v>106</v>
      </c>
      <c r="K277">
        <v>2</v>
      </c>
      <c r="L277">
        <v>899</v>
      </c>
      <c r="M277" s="3">
        <v>0.1</v>
      </c>
      <c r="N277">
        <v>1618.2</v>
      </c>
      <c r="O277">
        <v>1200</v>
      </c>
      <c r="P277">
        <v>418.2</v>
      </c>
      <c r="Q277" t="s">
        <v>37</v>
      </c>
      <c r="R277" t="s">
        <v>28</v>
      </c>
      <c r="S277">
        <v>5</v>
      </c>
    </row>
    <row r="278" spans="1:19">
      <c r="A278" t="s">
        <v>578</v>
      </c>
      <c r="B278" s="2">
        <v>45941</v>
      </c>
      <c r="C278" t="s">
        <v>579</v>
      </c>
      <c r="D278" t="s">
        <v>145</v>
      </c>
      <c r="E278" t="s">
        <v>32</v>
      </c>
      <c r="F278">
        <v>22</v>
      </c>
      <c r="G278" t="s">
        <v>141</v>
      </c>
      <c r="H278" t="s">
        <v>142</v>
      </c>
      <c r="I278" t="s">
        <v>25</v>
      </c>
      <c r="J278" t="s">
        <v>62</v>
      </c>
      <c r="K278">
        <v>4</v>
      </c>
      <c r="L278">
        <v>1299</v>
      </c>
      <c r="M278" s="3">
        <v>0</v>
      </c>
      <c r="N278">
        <v>5196</v>
      </c>
      <c r="O278">
        <v>3200</v>
      </c>
      <c r="P278">
        <v>1996</v>
      </c>
      <c r="Q278" t="s">
        <v>27</v>
      </c>
      <c r="R278" t="s">
        <v>28</v>
      </c>
      <c r="S278">
        <v>2</v>
      </c>
    </row>
    <row r="279" spans="1:19">
      <c r="A279" t="s">
        <v>580</v>
      </c>
      <c r="B279" s="2">
        <v>46060</v>
      </c>
      <c r="C279" t="s">
        <v>79</v>
      </c>
      <c r="D279" t="s">
        <v>80</v>
      </c>
      <c r="E279" t="s">
        <v>22</v>
      </c>
      <c r="F279">
        <v>22</v>
      </c>
      <c r="G279" t="s">
        <v>81</v>
      </c>
      <c r="H279" t="s">
        <v>82</v>
      </c>
      <c r="I279" t="s">
        <v>25</v>
      </c>
      <c r="J279" t="s">
        <v>62</v>
      </c>
      <c r="K279">
        <v>3</v>
      </c>
      <c r="L279">
        <v>1299</v>
      </c>
      <c r="M279" s="3">
        <v>0.05</v>
      </c>
      <c r="N279">
        <v>3702.15</v>
      </c>
      <c r="O279">
        <v>2400</v>
      </c>
      <c r="P279">
        <v>1302.1500000000001</v>
      </c>
      <c r="Q279" t="s">
        <v>66</v>
      </c>
      <c r="R279" t="s">
        <v>28</v>
      </c>
      <c r="S279">
        <v>3</v>
      </c>
    </row>
    <row r="280" spans="1:19">
      <c r="A280" t="s">
        <v>581</v>
      </c>
      <c r="B280" s="2">
        <v>45753</v>
      </c>
      <c r="C280" t="s">
        <v>491</v>
      </c>
      <c r="D280" t="s">
        <v>92</v>
      </c>
      <c r="E280" t="s">
        <v>22</v>
      </c>
      <c r="F280">
        <v>25</v>
      </c>
      <c r="G280" t="s">
        <v>23</v>
      </c>
      <c r="H280" t="s">
        <v>24</v>
      </c>
      <c r="I280" t="s">
        <v>163</v>
      </c>
      <c r="J280" t="s">
        <v>290</v>
      </c>
      <c r="K280">
        <v>4</v>
      </c>
      <c r="L280">
        <v>1999</v>
      </c>
      <c r="M280" s="3">
        <v>0</v>
      </c>
      <c r="N280">
        <v>7996</v>
      </c>
      <c r="O280">
        <v>4800</v>
      </c>
      <c r="P280">
        <v>3196</v>
      </c>
      <c r="Q280" t="s">
        <v>66</v>
      </c>
      <c r="R280" t="s">
        <v>28</v>
      </c>
      <c r="S280">
        <v>3</v>
      </c>
    </row>
    <row r="281" spans="1:19">
      <c r="A281" t="s">
        <v>582</v>
      </c>
      <c r="B281" s="2">
        <v>46253</v>
      </c>
      <c r="C281" t="s">
        <v>30</v>
      </c>
      <c r="D281" t="s">
        <v>31</v>
      </c>
      <c r="E281" t="s">
        <v>32</v>
      </c>
      <c r="F281">
        <v>29</v>
      </c>
      <c r="G281" t="s">
        <v>33</v>
      </c>
      <c r="H281" t="s">
        <v>34</v>
      </c>
      <c r="I281" t="s">
        <v>35</v>
      </c>
      <c r="J281" t="s">
        <v>136</v>
      </c>
      <c r="K281">
        <v>4</v>
      </c>
      <c r="L281">
        <v>799</v>
      </c>
      <c r="M281" s="3">
        <v>0.1</v>
      </c>
      <c r="N281">
        <v>2876.4</v>
      </c>
      <c r="O281">
        <v>1800</v>
      </c>
      <c r="P281">
        <v>1076.4000000000001</v>
      </c>
      <c r="Q281" t="s">
        <v>69</v>
      </c>
      <c r="R281" t="s">
        <v>137</v>
      </c>
      <c r="S281">
        <v>1</v>
      </c>
    </row>
    <row r="282" spans="1:19">
      <c r="A282" t="s">
        <v>583</v>
      </c>
      <c r="B282" s="2">
        <v>46205</v>
      </c>
      <c r="C282" t="s">
        <v>195</v>
      </c>
      <c r="D282" t="s">
        <v>196</v>
      </c>
      <c r="E282" t="s">
        <v>22</v>
      </c>
      <c r="F282">
        <v>54</v>
      </c>
      <c r="G282" t="s">
        <v>73</v>
      </c>
      <c r="H282" t="s">
        <v>74</v>
      </c>
      <c r="I282" t="s">
        <v>75</v>
      </c>
      <c r="J282" t="s">
        <v>76</v>
      </c>
      <c r="K282">
        <v>3</v>
      </c>
      <c r="L282">
        <v>399</v>
      </c>
      <c r="M282" s="3">
        <v>0</v>
      </c>
      <c r="N282">
        <v>1197</v>
      </c>
      <c r="O282">
        <v>660</v>
      </c>
      <c r="P282">
        <v>537</v>
      </c>
      <c r="Q282" t="s">
        <v>66</v>
      </c>
      <c r="R282" t="s">
        <v>28</v>
      </c>
      <c r="S282">
        <v>4</v>
      </c>
    </row>
    <row r="283" spans="1:19">
      <c r="A283" t="s">
        <v>584</v>
      </c>
      <c r="B283" s="2">
        <v>45948</v>
      </c>
      <c r="C283" t="s">
        <v>585</v>
      </c>
      <c r="D283" t="s">
        <v>586</v>
      </c>
      <c r="E283" t="s">
        <v>32</v>
      </c>
      <c r="F283">
        <v>31</v>
      </c>
      <c r="G283" t="s">
        <v>48</v>
      </c>
      <c r="H283" t="s">
        <v>42</v>
      </c>
      <c r="I283" t="s">
        <v>35</v>
      </c>
      <c r="J283" t="s">
        <v>36</v>
      </c>
      <c r="K283">
        <v>3</v>
      </c>
      <c r="L283">
        <v>599</v>
      </c>
      <c r="M283" s="3">
        <v>0.1</v>
      </c>
      <c r="N283">
        <v>1617.3</v>
      </c>
      <c r="O283">
        <v>960</v>
      </c>
      <c r="P283">
        <v>657.3</v>
      </c>
      <c r="Q283" t="s">
        <v>37</v>
      </c>
      <c r="R283" t="s">
        <v>28</v>
      </c>
      <c r="S283">
        <v>2</v>
      </c>
    </row>
    <row r="284" spans="1:19">
      <c r="A284" t="s">
        <v>587</v>
      </c>
      <c r="B284" s="2">
        <v>45705</v>
      </c>
      <c r="C284" t="s">
        <v>287</v>
      </c>
      <c r="D284" t="s">
        <v>190</v>
      </c>
      <c r="E284" t="s">
        <v>32</v>
      </c>
      <c r="F284">
        <v>39</v>
      </c>
      <c r="G284" t="s">
        <v>81</v>
      </c>
      <c r="H284" t="s">
        <v>82</v>
      </c>
      <c r="I284" t="s">
        <v>35</v>
      </c>
      <c r="J284" t="s">
        <v>36</v>
      </c>
      <c r="K284">
        <v>3</v>
      </c>
      <c r="L284">
        <v>599</v>
      </c>
      <c r="M284" s="3">
        <v>0</v>
      </c>
      <c r="N284">
        <v>1797</v>
      </c>
      <c r="O284">
        <v>960</v>
      </c>
      <c r="P284">
        <v>837</v>
      </c>
      <c r="Q284" t="s">
        <v>69</v>
      </c>
      <c r="R284" t="s">
        <v>28</v>
      </c>
      <c r="S284">
        <v>4</v>
      </c>
    </row>
    <row r="285" spans="1:19">
      <c r="A285" t="s">
        <v>588</v>
      </c>
      <c r="B285" s="2">
        <v>46125</v>
      </c>
      <c r="C285" t="s">
        <v>20</v>
      </c>
      <c r="D285" t="s">
        <v>21</v>
      </c>
      <c r="E285" t="s">
        <v>22</v>
      </c>
      <c r="F285">
        <v>52</v>
      </c>
      <c r="G285" t="s">
        <v>23</v>
      </c>
      <c r="H285" t="s">
        <v>24</v>
      </c>
      <c r="I285" t="s">
        <v>25</v>
      </c>
      <c r="J285" t="s">
        <v>56</v>
      </c>
      <c r="K285">
        <v>2</v>
      </c>
      <c r="L285">
        <v>899</v>
      </c>
      <c r="M285" s="3">
        <v>0.15</v>
      </c>
      <c r="N285">
        <v>1528.3</v>
      </c>
      <c r="O285">
        <v>1100</v>
      </c>
      <c r="P285">
        <v>428.3</v>
      </c>
      <c r="Q285" t="s">
        <v>69</v>
      </c>
      <c r="R285" t="s">
        <v>51</v>
      </c>
      <c r="S285">
        <v>4</v>
      </c>
    </row>
    <row r="286" spans="1:19">
      <c r="A286" t="s">
        <v>589</v>
      </c>
      <c r="B286" s="2">
        <v>45820</v>
      </c>
      <c r="C286" t="s">
        <v>216</v>
      </c>
      <c r="D286" t="s">
        <v>217</v>
      </c>
      <c r="E286" t="s">
        <v>22</v>
      </c>
      <c r="F286">
        <v>43</v>
      </c>
      <c r="G286" t="s">
        <v>115</v>
      </c>
      <c r="H286" t="s">
        <v>116</v>
      </c>
      <c r="I286" t="s">
        <v>117</v>
      </c>
      <c r="J286" t="s">
        <v>238</v>
      </c>
      <c r="K286">
        <v>2</v>
      </c>
      <c r="L286">
        <v>2499</v>
      </c>
      <c r="M286" s="3">
        <v>0.1</v>
      </c>
      <c r="N286">
        <v>4498.2</v>
      </c>
      <c r="O286">
        <v>3000</v>
      </c>
      <c r="P286">
        <v>1498.2</v>
      </c>
      <c r="Q286" t="s">
        <v>37</v>
      </c>
      <c r="R286" t="s">
        <v>28</v>
      </c>
      <c r="S286">
        <v>3</v>
      </c>
    </row>
    <row r="287" spans="1:19">
      <c r="A287" t="s">
        <v>590</v>
      </c>
      <c r="B287" s="2">
        <v>45711</v>
      </c>
      <c r="C287" t="s">
        <v>209</v>
      </c>
      <c r="D287" t="s">
        <v>210</v>
      </c>
      <c r="E287" t="s">
        <v>32</v>
      </c>
      <c r="F287">
        <v>26</v>
      </c>
      <c r="G287" t="s">
        <v>23</v>
      </c>
      <c r="H287" t="s">
        <v>24</v>
      </c>
      <c r="I287" t="s">
        <v>25</v>
      </c>
      <c r="J287" t="s">
        <v>26</v>
      </c>
      <c r="K287">
        <v>3</v>
      </c>
      <c r="L287">
        <v>2499</v>
      </c>
      <c r="M287" s="3">
        <v>0.05</v>
      </c>
      <c r="N287">
        <v>7122.15</v>
      </c>
      <c r="O287">
        <v>4800</v>
      </c>
      <c r="P287">
        <v>2322.15</v>
      </c>
      <c r="Q287" t="s">
        <v>66</v>
      </c>
      <c r="R287" t="s">
        <v>28</v>
      </c>
      <c r="S287">
        <v>2</v>
      </c>
    </row>
    <row r="288" spans="1:19">
      <c r="A288" t="s">
        <v>591</v>
      </c>
      <c r="B288" s="2">
        <v>45659</v>
      </c>
      <c r="C288" t="s">
        <v>488</v>
      </c>
      <c r="D288" t="s">
        <v>489</v>
      </c>
      <c r="E288" t="s">
        <v>22</v>
      </c>
      <c r="F288">
        <v>48</v>
      </c>
      <c r="G288" t="s">
        <v>115</v>
      </c>
      <c r="H288" t="s">
        <v>116</v>
      </c>
      <c r="I288" t="s">
        <v>75</v>
      </c>
      <c r="J288" t="s">
        <v>76</v>
      </c>
      <c r="K288">
        <v>1</v>
      </c>
      <c r="L288">
        <v>399</v>
      </c>
      <c r="M288" s="3">
        <v>0</v>
      </c>
      <c r="N288">
        <v>399</v>
      </c>
      <c r="O288">
        <v>220</v>
      </c>
      <c r="P288">
        <v>179</v>
      </c>
      <c r="Q288" t="s">
        <v>27</v>
      </c>
      <c r="R288" t="s">
        <v>28</v>
      </c>
      <c r="S288">
        <v>2</v>
      </c>
    </row>
    <row r="289" spans="1:19">
      <c r="A289" t="s">
        <v>592</v>
      </c>
      <c r="B289" s="2">
        <v>45666</v>
      </c>
      <c r="C289" t="s">
        <v>479</v>
      </c>
      <c r="D289" t="s">
        <v>480</v>
      </c>
      <c r="E289" t="s">
        <v>22</v>
      </c>
      <c r="F289">
        <v>29</v>
      </c>
      <c r="G289" t="s">
        <v>146</v>
      </c>
      <c r="H289" t="s">
        <v>61</v>
      </c>
      <c r="I289" t="s">
        <v>35</v>
      </c>
      <c r="J289" t="s">
        <v>108</v>
      </c>
      <c r="K289">
        <v>4</v>
      </c>
      <c r="L289">
        <v>699</v>
      </c>
      <c r="M289" s="3">
        <v>0</v>
      </c>
      <c r="N289">
        <v>2796</v>
      </c>
      <c r="O289">
        <v>1520</v>
      </c>
      <c r="P289">
        <v>1276</v>
      </c>
      <c r="Q289" t="s">
        <v>37</v>
      </c>
      <c r="R289" t="s">
        <v>137</v>
      </c>
      <c r="S289">
        <v>4</v>
      </c>
    </row>
    <row r="290" spans="1:19">
      <c r="A290" t="s">
        <v>593</v>
      </c>
      <c r="B290" s="2">
        <v>46050</v>
      </c>
      <c r="C290" t="s">
        <v>342</v>
      </c>
      <c r="D290" t="s">
        <v>343</v>
      </c>
      <c r="E290" t="s">
        <v>22</v>
      </c>
      <c r="F290">
        <v>23</v>
      </c>
      <c r="G290" t="s">
        <v>48</v>
      </c>
      <c r="H290" t="s">
        <v>42</v>
      </c>
      <c r="I290" t="s">
        <v>35</v>
      </c>
      <c r="J290" t="s">
        <v>36</v>
      </c>
      <c r="K290">
        <v>1</v>
      </c>
      <c r="L290">
        <v>599</v>
      </c>
      <c r="M290" s="3">
        <v>0.05</v>
      </c>
      <c r="N290">
        <v>569.04999999999995</v>
      </c>
      <c r="O290">
        <v>320</v>
      </c>
      <c r="P290">
        <v>249.05</v>
      </c>
      <c r="Q290" t="s">
        <v>69</v>
      </c>
      <c r="R290" t="s">
        <v>28</v>
      </c>
      <c r="S290">
        <v>1</v>
      </c>
    </row>
    <row r="291" spans="1:19">
      <c r="A291" t="s">
        <v>594</v>
      </c>
      <c r="B291" s="2">
        <v>45798</v>
      </c>
      <c r="C291" t="s">
        <v>595</v>
      </c>
      <c r="D291" t="s">
        <v>596</v>
      </c>
      <c r="E291" t="s">
        <v>22</v>
      </c>
      <c r="F291">
        <v>25</v>
      </c>
      <c r="G291" t="s">
        <v>180</v>
      </c>
      <c r="H291" t="s">
        <v>181</v>
      </c>
      <c r="I291" t="s">
        <v>163</v>
      </c>
      <c r="J291" t="s">
        <v>164</v>
      </c>
      <c r="K291">
        <v>3</v>
      </c>
      <c r="L291">
        <v>3499</v>
      </c>
      <c r="M291" s="3">
        <v>0.1</v>
      </c>
      <c r="N291">
        <v>9447.2999999999993</v>
      </c>
      <c r="O291">
        <v>6600</v>
      </c>
      <c r="P291">
        <v>2847.3</v>
      </c>
      <c r="Q291" t="s">
        <v>66</v>
      </c>
      <c r="R291" t="s">
        <v>28</v>
      </c>
      <c r="S291">
        <v>2</v>
      </c>
    </row>
    <row r="292" spans="1:19">
      <c r="A292" t="s">
        <v>597</v>
      </c>
      <c r="B292" s="2">
        <v>45826</v>
      </c>
      <c r="C292" t="s">
        <v>598</v>
      </c>
      <c r="D292" t="s">
        <v>225</v>
      </c>
      <c r="E292" t="s">
        <v>22</v>
      </c>
      <c r="F292">
        <v>37</v>
      </c>
      <c r="G292" t="s">
        <v>48</v>
      </c>
      <c r="H292" t="s">
        <v>42</v>
      </c>
      <c r="I292" t="s">
        <v>25</v>
      </c>
      <c r="J292" t="s">
        <v>26</v>
      </c>
      <c r="K292">
        <v>1</v>
      </c>
      <c r="L292">
        <v>2499</v>
      </c>
      <c r="M292" s="3">
        <v>0.2</v>
      </c>
      <c r="N292">
        <v>1999.2</v>
      </c>
      <c r="O292">
        <v>1600</v>
      </c>
      <c r="P292">
        <v>399.2</v>
      </c>
      <c r="Q292" t="s">
        <v>66</v>
      </c>
      <c r="R292" t="s">
        <v>28</v>
      </c>
      <c r="S292">
        <v>2</v>
      </c>
    </row>
    <row r="293" spans="1:19">
      <c r="A293" t="s">
        <v>599</v>
      </c>
      <c r="B293" s="2">
        <v>45746</v>
      </c>
      <c r="C293" t="s">
        <v>158</v>
      </c>
      <c r="D293" t="s">
        <v>159</v>
      </c>
      <c r="E293" t="s">
        <v>32</v>
      </c>
      <c r="F293">
        <v>19</v>
      </c>
      <c r="G293" t="s">
        <v>60</v>
      </c>
      <c r="H293" t="s">
        <v>61</v>
      </c>
      <c r="I293" t="s">
        <v>163</v>
      </c>
      <c r="J293" t="s">
        <v>234</v>
      </c>
      <c r="K293">
        <v>4</v>
      </c>
      <c r="L293">
        <v>999</v>
      </c>
      <c r="M293" s="3">
        <v>0.05</v>
      </c>
      <c r="N293">
        <v>3796.2</v>
      </c>
      <c r="O293">
        <v>2400</v>
      </c>
      <c r="P293">
        <v>1396.2</v>
      </c>
      <c r="Q293" t="s">
        <v>69</v>
      </c>
      <c r="R293" t="s">
        <v>28</v>
      </c>
      <c r="S293">
        <v>1</v>
      </c>
    </row>
    <row r="294" spans="1:19">
      <c r="A294" t="s">
        <v>600</v>
      </c>
      <c r="B294" s="2">
        <v>45801</v>
      </c>
      <c r="C294" t="s">
        <v>202</v>
      </c>
      <c r="D294" t="s">
        <v>89</v>
      </c>
      <c r="E294" t="s">
        <v>22</v>
      </c>
      <c r="F294">
        <v>50</v>
      </c>
      <c r="G294" t="s">
        <v>93</v>
      </c>
      <c r="H294" t="s">
        <v>94</v>
      </c>
      <c r="I294" t="s">
        <v>163</v>
      </c>
      <c r="J294" t="s">
        <v>214</v>
      </c>
      <c r="K294">
        <v>4</v>
      </c>
      <c r="L294">
        <v>1499</v>
      </c>
      <c r="M294" s="3">
        <v>0.1</v>
      </c>
      <c r="N294">
        <v>5396.4</v>
      </c>
      <c r="O294">
        <v>3600</v>
      </c>
      <c r="P294">
        <v>1796.4</v>
      </c>
      <c r="Q294" t="s">
        <v>27</v>
      </c>
      <c r="R294" t="s">
        <v>28</v>
      </c>
      <c r="S294">
        <v>1</v>
      </c>
    </row>
    <row r="295" spans="1:19">
      <c r="A295" t="s">
        <v>601</v>
      </c>
      <c r="B295" s="2">
        <v>45966</v>
      </c>
      <c r="C295" t="s">
        <v>79</v>
      </c>
      <c r="D295" t="s">
        <v>80</v>
      </c>
      <c r="E295" t="s">
        <v>22</v>
      </c>
      <c r="F295">
        <v>22</v>
      </c>
      <c r="G295" t="s">
        <v>81</v>
      </c>
      <c r="H295" t="s">
        <v>82</v>
      </c>
      <c r="I295" t="s">
        <v>35</v>
      </c>
      <c r="J295" t="s">
        <v>126</v>
      </c>
      <c r="K295">
        <v>3</v>
      </c>
      <c r="L295">
        <v>1499</v>
      </c>
      <c r="M295" s="3">
        <v>0</v>
      </c>
      <c r="N295">
        <v>4497</v>
      </c>
      <c r="O295">
        <v>2550</v>
      </c>
      <c r="P295">
        <v>1947</v>
      </c>
      <c r="Q295" t="s">
        <v>27</v>
      </c>
      <c r="R295" t="s">
        <v>28</v>
      </c>
      <c r="S295">
        <v>5</v>
      </c>
    </row>
    <row r="296" spans="1:19">
      <c r="A296" t="s">
        <v>602</v>
      </c>
      <c r="B296" s="2">
        <v>45713</v>
      </c>
      <c r="C296" t="s">
        <v>603</v>
      </c>
      <c r="D296" t="s">
        <v>604</v>
      </c>
      <c r="E296" t="s">
        <v>32</v>
      </c>
      <c r="F296">
        <v>33</v>
      </c>
      <c r="G296" t="s">
        <v>41</v>
      </c>
      <c r="H296" t="s">
        <v>42</v>
      </c>
      <c r="I296" t="s">
        <v>117</v>
      </c>
      <c r="J296" t="s">
        <v>152</v>
      </c>
      <c r="K296">
        <v>4</v>
      </c>
      <c r="L296">
        <v>899</v>
      </c>
      <c r="M296" s="3">
        <v>0.1</v>
      </c>
      <c r="N296">
        <v>3236.4</v>
      </c>
      <c r="O296">
        <v>2000</v>
      </c>
      <c r="P296">
        <v>1236.4000000000001</v>
      </c>
      <c r="Q296" t="s">
        <v>27</v>
      </c>
      <c r="R296" t="s">
        <v>28</v>
      </c>
      <c r="S296">
        <v>1</v>
      </c>
    </row>
    <row r="297" spans="1:19">
      <c r="A297" t="s">
        <v>605</v>
      </c>
      <c r="B297" s="2">
        <v>45670</v>
      </c>
      <c r="C297" t="s">
        <v>363</v>
      </c>
      <c r="D297" t="s">
        <v>155</v>
      </c>
      <c r="E297" t="s">
        <v>32</v>
      </c>
      <c r="F297">
        <v>43</v>
      </c>
      <c r="G297" t="s">
        <v>48</v>
      </c>
      <c r="H297" t="s">
        <v>42</v>
      </c>
      <c r="I297" t="s">
        <v>35</v>
      </c>
      <c r="J297" t="s">
        <v>36</v>
      </c>
      <c r="K297">
        <v>1</v>
      </c>
      <c r="L297">
        <v>599</v>
      </c>
      <c r="M297" s="3">
        <v>0.2</v>
      </c>
      <c r="N297">
        <v>479.2</v>
      </c>
      <c r="O297">
        <v>320</v>
      </c>
      <c r="P297">
        <v>159.19999999999999</v>
      </c>
      <c r="Q297" t="s">
        <v>37</v>
      </c>
      <c r="R297" t="s">
        <v>77</v>
      </c>
      <c r="S297">
        <v>2</v>
      </c>
    </row>
    <row r="298" spans="1:19">
      <c r="A298" t="s">
        <v>606</v>
      </c>
      <c r="B298" s="2">
        <v>46217</v>
      </c>
      <c r="C298" t="s">
        <v>527</v>
      </c>
      <c r="D298" t="s">
        <v>528</v>
      </c>
      <c r="E298" t="s">
        <v>22</v>
      </c>
      <c r="F298">
        <v>36</v>
      </c>
      <c r="G298" t="s">
        <v>93</v>
      </c>
      <c r="H298" t="s">
        <v>94</v>
      </c>
      <c r="I298" t="s">
        <v>75</v>
      </c>
      <c r="J298" t="s">
        <v>86</v>
      </c>
      <c r="K298">
        <v>4</v>
      </c>
      <c r="L298">
        <v>499</v>
      </c>
      <c r="M298" s="3">
        <v>0.1</v>
      </c>
      <c r="N298">
        <v>1796.4</v>
      </c>
      <c r="O298">
        <v>1200</v>
      </c>
      <c r="P298">
        <v>596.4</v>
      </c>
      <c r="Q298" t="s">
        <v>27</v>
      </c>
      <c r="R298" t="s">
        <v>28</v>
      </c>
      <c r="S298">
        <v>1</v>
      </c>
    </row>
    <row r="299" spans="1:19">
      <c r="A299" t="s">
        <v>607</v>
      </c>
      <c r="B299" s="2">
        <v>45926</v>
      </c>
      <c r="C299" t="s">
        <v>20</v>
      </c>
      <c r="D299" t="s">
        <v>21</v>
      </c>
      <c r="E299" t="s">
        <v>22</v>
      </c>
      <c r="F299">
        <v>52</v>
      </c>
      <c r="G299" t="s">
        <v>23</v>
      </c>
      <c r="H299" t="s">
        <v>24</v>
      </c>
      <c r="I299" t="s">
        <v>75</v>
      </c>
      <c r="J299" t="s">
        <v>86</v>
      </c>
      <c r="K299">
        <v>1</v>
      </c>
      <c r="L299">
        <v>499</v>
      </c>
      <c r="M299" s="3">
        <v>0</v>
      </c>
      <c r="N299">
        <v>499</v>
      </c>
      <c r="O299">
        <v>300</v>
      </c>
      <c r="P299">
        <v>199</v>
      </c>
      <c r="Q299" t="s">
        <v>27</v>
      </c>
      <c r="R299" t="s">
        <v>28</v>
      </c>
      <c r="S299">
        <v>1</v>
      </c>
    </row>
    <row r="300" spans="1:19">
      <c r="A300" t="s">
        <v>608</v>
      </c>
      <c r="B300" s="2">
        <v>46083</v>
      </c>
      <c r="C300" t="s">
        <v>220</v>
      </c>
      <c r="D300" t="s">
        <v>221</v>
      </c>
      <c r="E300" t="s">
        <v>22</v>
      </c>
      <c r="F300">
        <v>27</v>
      </c>
      <c r="G300" t="s">
        <v>141</v>
      </c>
      <c r="H300" t="s">
        <v>142</v>
      </c>
      <c r="I300" t="s">
        <v>35</v>
      </c>
      <c r="J300" t="s">
        <v>108</v>
      </c>
      <c r="K300">
        <v>3</v>
      </c>
      <c r="L300">
        <v>699</v>
      </c>
      <c r="M300" s="3">
        <v>0.2</v>
      </c>
      <c r="N300">
        <v>1677.6</v>
      </c>
      <c r="O300">
        <v>1140</v>
      </c>
      <c r="P300">
        <v>537.6</v>
      </c>
      <c r="Q300" t="s">
        <v>66</v>
      </c>
      <c r="R300" t="s">
        <v>28</v>
      </c>
      <c r="S300">
        <v>1</v>
      </c>
    </row>
    <row r="301" spans="1:19">
      <c r="A301" t="s">
        <v>609</v>
      </c>
      <c r="B301" s="2">
        <v>45743</v>
      </c>
      <c r="C301" t="s">
        <v>467</v>
      </c>
      <c r="D301" t="s">
        <v>322</v>
      </c>
      <c r="E301" t="s">
        <v>32</v>
      </c>
      <c r="F301">
        <v>41</v>
      </c>
      <c r="G301" t="s">
        <v>55</v>
      </c>
      <c r="H301" t="s">
        <v>34</v>
      </c>
      <c r="I301" t="s">
        <v>35</v>
      </c>
      <c r="J301" t="s">
        <v>126</v>
      </c>
      <c r="K301">
        <v>2</v>
      </c>
      <c r="L301">
        <v>1499</v>
      </c>
      <c r="M301" s="3">
        <v>0.1</v>
      </c>
      <c r="N301">
        <v>2698.2</v>
      </c>
      <c r="O301">
        <v>1700</v>
      </c>
      <c r="P301">
        <v>998.2</v>
      </c>
      <c r="Q301" t="s">
        <v>37</v>
      </c>
      <c r="R301" t="s">
        <v>28</v>
      </c>
      <c r="S301">
        <v>2</v>
      </c>
    </row>
    <row r="302" spans="1:19">
      <c r="A302" t="s">
        <v>610</v>
      </c>
      <c r="B302" s="2">
        <v>46258</v>
      </c>
      <c r="C302" t="s">
        <v>315</v>
      </c>
      <c r="D302" t="s">
        <v>305</v>
      </c>
      <c r="E302" t="s">
        <v>22</v>
      </c>
      <c r="F302">
        <v>18</v>
      </c>
      <c r="G302" t="s">
        <v>48</v>
      </c>
      <c r="H302" t="s">
        <v>42</v>
      </c>
      <c r="I302" t="s">
        <v>35</v>
      </c>
      <c r="J302" t="s">
        <v>126</v>
      </c>
      <c r="K302">
        <v>3</v>
      </c>
      <c r="L302">
        <v>1499</v>
      </c>
      <c r="M302" s="3">
        <v>0.15</v>
      </c>
      <c r="N302">
        <v>3822.45</v>
      </c>
      <c r="O302">
        <v>2550</v>
      </c>
      <c r="P302">
        <v>1272.45</v>
      </c>
      <c r="Q302" t="s">
        <v>69</v>
      </c>
      <c r="R302" t="s">
        <v>28</v>
      </c>
      <c r="S302">
        <v>4</v>
      </c>
    </row>
    <row r="303" spans="1:19">
      <c r="A303" t="s">
        <v>611</v>
      </c>
      <c r="B303" s="2">
        <v>46102</v>
      </c>
      <c r="C303" t="s">
        <v>363</v>
      </c>
      <c r="D303" t="s">
        <v>155</v>
      </c>
      <c r="E303" t="s">
        <v>32</v>
      </c>
      <c r="F303">
        <v>43</v>
      </c>
      <c r="G303" t="s">
        <v>48</v>
      </c>
      <c r="H303" t="s">
        <v>42</v>
      </c>
      <c r="I303" t="s">
        <v>25</v>
      </c>
      <c r="J303" t="s">
        <v>68</v>
      </c>
      <c r="K303">
        <v>2</v>
      </c>
      <c r="L303">
        <v>2999</v>
      </c>
      <c r="M303" s="3">
        <v>0</v>
      </c>
      <c r="N303">
        <v>5998</v>
      </c>
      <c r="O303">
        <v>3800</v>
      </c>
      <c r="P303">
        <v>2198</v>
      </c>
      <c r="Q303" t="s">
        <v>69</v>
      </c>
      <c r="R303" t="s">
        <v>28</v>
      </c>
      <c r="S303">
        <v>5</v>
      </c>
    </row>
    <row r="304" spans="1:19">
      <c r="A304" t="s">
        <v>612</v>
      </c>
      <c r="B304" s="2">
        <v>45670</v>
      </c>
      <c r="C304" t="s">
        <v>384</v>
      </c>
      <c r="D304" t="s">
        <v>385</v>
      </c>
      <c r="E304" t="s">
        <v>32</v>
      </c>
      <c r="F304">
        <v>22</v>
      </c>
      <c r="G304" t="s">
        <v>48</v>
      </c>
      <c r="H304" t="s">
        <v>42</v>
      </c>
      <c r="I304" t="s">
        <v>43</v>
      </c>
      <c r="J304" t="s">
        <v>44</v>
      </c>
      <c r="K304">
        <v>2</v>
      </c>
      <c r="L304">
        <v>1599</v>
      </c>
      <c r="M304" s="3">
        <v>0</v>
      </c>
      <c r="N304">
        <v>3198</v>
      </c>
      <c r="O304">
        <v>1900</v>
      </c>
      <c r="P304">
        <v>1298</v>
      </c>
      <c r="Q304" t="s">
        <v>27</v>
      </c>
      <c r="R304" t="s">
        <v>28</v>
      </c>
      <c r="S304">
        <v>2</v>
      </c>
    </row>
    <row r="305" spans="1:19">
      <c r="A305" t="s">
        <v>613</v>
      </c>
      <c r="B305" s="2">
        <v>46038</v>
      </c>
      <c r="C305" t="s">
        <v>207</v>
      </c>
      <c r="D305" t="s">
        <v>72</v>
      </c>
      <c r="E305" t="s">
        <v>22</v>
      </c>
      <c r="F305">
        <v>48</v>
      </c>
      <c r="G305" t="s">
        <v>180</v>
      </c>
      <c r="H305" t="s">
        <v>181</v>
      </c>
      <c r="I305" t="s">
        <v>163</v>
      </c>
      <c r="J305" t="s">
        <v>214</v>
      </c>
      <c r="K305">
        <v>3</v>
      </c>
      <c r="L305">
        <v>1499</v>
      </c>
      <c r="M305" s="3">
        <v>0.05</v>
      </c>
      <c r="N305">
        <v>4272.1499999999996</v>
      </c>
      <c r="O305">
        <v>2700</v>
      </c>
      <c r="P305">
        <v>1572.15</v>
      </c>
      <c r="Q305" t="s">
        <v>27</v>
      </c>
      <c r="R305" t="s">
        <v>28</v>
      </c>
      <c r="S305">
        <v>3</v>
      </c>
    </row>
    <row r="306" spans="1:19">
      <c r="A306" t="s">
        <v>614</v>
      </c>
      <c r="B306" s="2">
        <v>45936</v>
      </c>
      <c r="C306" t="s">
        <v>562</v>
      </c>
      <c r="D306" t="s">
        <v>563</v>
      </c>
      <c r="E306" t="s">
        <v>22</v>
      </c>
      <c r="F306">
        <v>27</v>
      </c>
      <c r="G306" t="s">
        <v>180</v>
      </c>
      <c r="H306" t="s">
        <v>181</v>
      </c>
      <c r="I306" t="s">
        <v>25</v>
      </c>
      <c r="J306" t="s">
        <v>156</v>
      </c>
      <c r="K306">
        <v>3</v>
      </c>
      <c r="L306">
        <v>1999</v>
      </c>
      <c r="M306" s="3">
        <v>0.15</v>
      </c>
      <c r="N306">
        <v>5097.45</v>
      </c>
      <c r="O306">
        <v>3900</v>
      </c>
      <c r="P306">
        <v>1197.45</v>
      </c>
      <c r="Q306" t="s">
        <v>50</v>
      </c>
      <c r="R306" t="s">
        <v>28</v>
      </c>
      <c r="S306">
        <v>5</v>
      </c>
    </row>
    <row r="307" spans="1:19">
      <c r="A307" t="s">
        <v>615</v>
      </c>
      <c r="B307" s="2">
        <v>46026</v>
      </c>
      <c r="C307" t="s">
        <v>91</v>
      </c>
      <c r="D307" t="s">
        <v>92</v>
      </c>
      <c r="E307" t="s">
        <v>32</v>
      </c>
      <c r="F307">
        <v>43</v>
      </c>
      <c r="G307" t="s">
        <v>93</v>
      </c>
      <c r="H307" t="s">
        <v>94</v>
      </c>
      <c r="I307" t="s">
        <v>35</v>
      </c>
      <c r="J307" t="s">
        <v>36</v>
      </c>
      <c r="K307">
        <v>4</v>
      </c>
      <c r="L307">
        <v>599</v>
      </c>
      <c r="M307" s="3">
        <v>0.2</v>
      </c>
      <c r="N307">
        <v>1916.8</v>
      </c>
      <c r="O307">
        <v>1280</v>
      </c>
      <c r="P307">
        <v>636.79999999999995</v>
      </c>
      <c r="Q307" t="s">
        <v>69</v>
      </c>
      <c r="R307" t="s">
        <v>28</v>
      </c>
      <c r="S307">
        <v>5</v>
      </c>
    </row>
    <row r="308" spans="1:19">
      <c r="A308" t="s">
        <v>616</v>
      </c>
      <c r="B308" s="2">
        <v>45763</v>
      </c>
      <c r="C308" t="s">
        <v>553</v>
      </c>
      <c r="D308" t="s">
        <v>554</v>
      </c>
      <c r="E308" t="s">
        <v>22</v>
      </c>
      <c r="F308">
        <v>54</v>
      </c>
      <c r="G308" t="s">
        <v>23</v>
      </c>
      <c r="H308" t="s">
        <v>24</v>
      </c>
      <c r="I308" t="s">
        <v>163</v>
      </c>
      <c r="J308" t="s">
        <v>214</v>
      </c>
      <c r="K308">
        <v>2</v>
      </c>
      <c r="L308">
        <v>1499</v>
      </c>
      <c r="M308" s="3">
        <v>0.1</v>
      </c>
      <c r="N308">
        <v>2698.2</v>
      </c>
      <c r="O308">
        <v>1800</v>
      </c>
      <c r="P308">
        <v>898.2</v>
      </c>
      <c r="Q308" t="s">
        <v>50</v>
      </c>
      <c r="R308" t="s">
        <v>28</v>
      </c>
      <c r="S308">
        <v>1</v>
      </c>
    </row>
    <row r="309" spans="1:19">
      <c r="A309" t="s">
        <v>617</v>
      </c>
      <c r="B309" s="2">
        <v>45670</v>
      </c>
      <c r="C309" t="s">
        <v>183</v>
      </c>
      <c r="D309" t="s">
        <v>184</v>
      </c>
      <c r="E309" t="s">
        <v>22</v>
      </c>
      <c r="F309">
        <v>43</v>
      </c>
      <c r="G309" t="s">
        <v>60</v>
      </c>
      <c r="H309" t="s">
        <v>61</v>
      </c>
      <c r="I309" t="s">
        <v>117</v>
      </c>
      <c r="J309" t="s">
        <v>152</v>
      </c>
      <c r="K309">
        <v>1</v>
      </c>
      <c r="L309">
        <v>899</v>
      </c>
      <c r="M309" s="3">
        <v>0</v>
      </c>
      <c r="N309">
        <v>899</v>
      </c>
      <c r="O309">
        <v>500</v>
      </c>
      <c r="P309">
        <v>399</v>
      </c>
      <c r="Q309" t="s">
        <v>27</v>
      </c>
      <c r="R309" t="s">
        <v>28</v>
      </c>
      <c r="S309">
        <v>3</v>
      </c>
    </row>
    <row r="310" spans="1:19">
      <c r="A310" t="s">
        <v>618</v>
      </c>
      <c r="B310" s="2">
        <v>46224</v>
      </c>
      <c r="C310" t="s">
        <v>202</v>
      </c>
      <c r="D310" t="s">
        <v>89</v>
      </c>
      <c r="E310" t="s">
        <v>22</v>
      </c>
      <c r="F310">
        <v>50</v>
      </c>
      <c r="G310" t="s">
        <v>93</v>
      </c>
      <c r="H310" t="s">
        <v>94</v>
      </c>
      <c r="I310" t="s">
        <v>25</v>
      </c>
      <c r="J310" t="s">
        <v>62</v>
      </c>
      <c r="K310">
        <v>2</v>
      </c>
      <c r="L310">
        <v>1299</v>
      </c>
      <c r="M310" s="3">
        <v>0</v>
      </c>
      <c r="N310">
        <v>2598</v>
      </c>
      <c r="O310">
        <v>1600</v>
      </c>
      <c r="P310">
        <v>998</v>
      </c>
      <c r="Q310" t="s">
        <v>66</v>
      </c>
      <c r="R310" t="s">
        <v>28</v>
      </c>
      <c r="S310">
        <v>2</v>
      </c>
    </row>
    <row r="311" spans="1:19">
      <c r="A311" t="s">
        <v>619</v>
      </c>
      <c r="B311" s="2">
        <v>45737</v>
      </c>
      <c r="C311" t="s">
        <v>491</v>
      </c>
      <c r="D311" t="s">
        <v>92</v>
      </c>
      <c r="E311" t="s">
        <v>22</v>
      </c>
      <c r="F311">
        <v>25</v>
      </c>
      <c r="G311" t="s">
        <v>23</v>
      </c>
      <c r="H311" t="s">
        <v>24</v>
      </c>
      <c r="I311" t="s">
        <v>117</v>
      </c>
      <c r="J311" t="s">
        <v>152</v>
      </c>
      <c r="K311">
        <v>3</v>
      </c>
      <c r="L311">
        <v>899</v>
      </c>
      <c r="M311" s="3">
        <v>0.1</v>
      </c>
      <c r="N311">
        <v>2427.3000000000002</v>
      </c>
      <c r="O311">
        <v>1500</v>
      </c>
      <c r="P311">
        <v>927.3</v>
      </c>
      <c r="Q311" t="s">
        <v>50</v>
      </c>
      <c r="R311" t="s">
        <v>28</v>
      </c>
      <c r="S311">
        <v>5</v>
      </c>
    </row>
    <row r="312" spans="1:19">
      <c r="A312" t="s">
        <v>620</v>
      </c>
      <c r="B312" s="2">
        <v>45705</v>
      </c>
      <c r="C312" t="s">
        <v>332</v>
      </c>
      <c r="D312" t="s">
        <v>333</v>
      </c>
      <c r="E312" t="s">
        <v>32</v>
      </c>
      <c r="F312">
        <v>28</v>
      </c>
      <c r="G312" t="s">
        <v>93</v>
      </c>
      <c r="H312" t="s">
        <v>94</v>
      </c>
      <c r="I312" t="s">
        <v>43</v>
      </c>
      <c r="J312" t="s">
        <v>95</v>
      </c>
      <c r="K312">
        <v>2</v>
      </c>
      <c r="L312">
        <v>2499</v>
      </c>
      <c r="M312" s="3">
        <v>0.2</v>
      </c>
      <c r="N312">
        <v>3998.4</v>
      </c>
      <c r="O312">
        <v>3000</v>
      </c>
      <c r="P312">
        <v>998.4</v>
      </c>
      <c r="Q312" t="s">
        <v>66</v>
      </c>
      <c r="R312" t="s">
        <v>28</v>
      </c>
      <c r="S312">
        <v>4</v>
      </c>
    </row>
    <row r="313" spans="1:19">
      <c r="A313" t="s">
        <v>621</v>
      </c>
      <c r="B313" s="2">
        <v>46224</v>
      </c>
      <c r="C313" t="s">
        <v>53</v>
      </c>
      <c r="D313" t="s">
        <v>54</v>
      </c>
      <c r="E313" t="s">
        <v>22</v>
      </c>
      <c r="F313">
        <v>34</v>
      </c>
      <c r="G313" t="s">
        <v>55</v>
      </c>
      <c r="H313" t="s">
        <v>34</v>
      </c>
      <c r="I313" t="s">
        <v>43</v>
      </c>
      <c r="J313" t="s">
        <v>44</v>
      </c>
      <c r="K313">
        <v>3</v>
      </c>
      <c r="L313">
        <v>1599</v>
      </c>
      <c r="M313" s="3">
        <v>0</v>
      </c>
      <c r="N313">
        <v>4797</v>
      </c>
      <c r="O313">
        <v>2850</v>
      </c>
      <c r="P313">
        <v>1947</v>
      </c>
      <c r="Q313" t="s">
        <v>66</v>
      </c>
      <c r="R313" t="s">
        <v>28</v>
      </c>
      <c r="S313">
        <v>2</v>
      </c>
    </row>
    <row r="314" spans="1:19">
      <c r="A314" t="s">
        <v>622</v>
      </c>
      <c r="B314" s="2">
        <v>45906</v>
      </c>
      <c r="C314" t="s">
        <v>623</v>
      </c>
      <c r="D314" t="s">
        <v>624</v>
      </c>
      <c r="E314" t="s">
        <v>22</v>
      </c>
      <c r="F314">
        <v>52</v>
      </c>
      <c r="G314" t="s">
        <v>60</v>
      </c>
      <c r="H314" t="s">
        <v>61</v>
      </c>
      <c r="I314" t="s">
        <v>75</v>
      </c>
      <c r="J314" t="s">
        <v>86</v>
      </c>
      <c r="K314">
        <v>3</v>
      </c>
      <c r="L314">
        <v>499</v>
      </c>
      <c r="M314" s="3">
        <v>0.2</v>
      </c>
      <c r="N314">
        <v>1197.5999999999999</v>
      </c>
      <c r="O314">
        <v>900</v>
      </c>
      <c r="P314">
        <v>297.60000000000002</v>
      </c>
      <c r="Q314" t="s">
        <v>66</v>
      </c>
      <c r="R314" t="s">
        <v>28</v>
      </c>
      <c r="S314">
        <v>4</v>
      </c>
    </row>
    <row r="315" spans="1:19">
      <c r="A315" t="s">
        <v>625</v>
      </c>
      <c r="B315" s="2">
        <v>45664</v>
      </c>
      <c r="C315" t="s">
        <v>405</v>
      </c>
      <c r="D315" t="s">
        <v>213</v>
      </c>
      <c r="E315" t="s">
        <v>22</v>
      </c>
      <c r="F315">
        <v>28</v>
      </c>
      <c r="G315" t="s">
        <v>60</v>
      </c>
      <c r="H315" t="s">
        <v>61</v>
      </c>
      <c r="I315" t="s">
        <v>117</v>
      </c>
      <c r="J315" t="s">
        <v>152</v>
      </c>
      <c r="K315">
        <v>2</v>
      </c>
      <c r="L315">
        <v>899</v>
      </c>
      <c r="M315" s="3">
        <v>0.05</v>
      </c>
      <c r="N315">
        <v>1708.1</v>
      </c>
      <c r="O315">
        <v>1000</v>
      </c>
      <c r="P315">
        <v>708.1</v>
      </c>
      <c r="Q315" t="s">
        <v>66</v>
      </c>
      <c r="R315" t="s">
        <v>28</v>
      </c>
      <c r="S315">
        <v>5</v>
      </c>
    </row>
    <row r="316" spans="1:19">
      <c r="A316" t="s">
        <v>626</v>
      </c>
      <c r="B316" s="2">
        <v>45659</v>
      </c>
      <c r="C316" t="s">
        <v>199</v>
      </c>
      <c r="D316" t="s">
        <v>200</v>
      </c>
      <c r="E316" t="s">
        <v>22</v>
      </c>
      <c r="F316">
        <v>42</v>
      </c>
      <c r="G316" t="s">
        <v>33</v>
      </c>
      <c r="H316" t="s">
        <v>34</v>
      </c>
      <c r="I316" t="s">
        <v>75</v>
      </c>
      <c r="J316" t="s">
        <v>76</v>
      </c>
      <c r="K316">
        <v>1</v>
      </c>
      <c r="L316">
        <v>399</v>
      </c>
      <c r="M316" s="3">
        <v>0.1</v>
      </c>
      <c r="N316">
        <v>359.1</v>
      </c>
      <c r="O316">
        <v>220</v>
      </c>
      <c r="P316">
        <v>139.1</v>
      </c>
      <c r="Q316" t="s">
        <v>66</v>
      </c>
      <c r="R316" t="s">
        <v>137</v>
      </c>
      <c r="S316">
        <v>3</v>
      </c>
    </row>
    <row r="317" spans="1:19">
      <c r="A317" t="s">
        <v>627</v>
      </c>
      <c r="B317" s="2">
        <v>46161</v>
      </c>
      <c r="C317" t="s">
        <v>595</v>
      </c>
      <c r="D317" t="s">
        <v>596</v>
      </c>
      <c r="E317" t="s">
        <v>22</v>
      </c>
      <c r="F317">
        <v>25</v>
      </c>
      <c r="G317" t="s">
        <v>180</v>
      </c>
      <c r="H317" t="s">
        <v>181</v>
      </c>
      <c r="I317" t="s">
        <v>43</v>
      </c>
      <c r="J317" t="s">
        <v>49</v>
      </c>
      <c r="K317">
        <v>2</v>
      </c>
      <c r="L317">
        <v>799</v>
      </c>
      <c r="M317" s="3">
        <v>0.15</v>
      </c>
      <c r="N317">
        <v>1358.3</v>
      </c>
      <c r="O317">
        <v>900</v>
      </c>
      <c r="P317">
        <v>458.3</v>
      </c>
      <c r="Q317" t="s">
        <v>69</v>
      </c>
      <c r="R317" t="s">
        <v>51</v>
      </c>
      <c r="S317">
        <v>2</v>
      </c>
    </row>
    <row r="318" spans="1:19">
      <c r="A318" t="s">
        <v>628</v>
      </c>
      <c r="B318" s="2">
        <v>46190</v>
      </c>
      <c r="C318" t="s">
        <v>120</v>
      </c>
      <c r="D318" t="s">
        <v>121</v>
      </c>
      <c r="E318" t="s">
        <v>32</v>
      </c>
      <c r="F318">
        <v>35</v>
      </c>
      <c r="G318" t="s">
        <v>93</v>
      </c>
      <c r="H318" t="s">
        <v>94</v>
      </c>
      <c r="I318" t="s">
        <v>25</v>
      </c>
      <c r="J318" t="s">
        <v>26</v>
      </c>
      <c r="K318">
        <v>1</v>
      </c>
      <c r="L318">
        <v>2499</v>
      </c>
      <c r="M318" s="3">
        <v>0.05</v>
      </c>
      <c r="N318">
        <v>2374.0500000000002</v>
      </c>
      <c r="O318">
        <v>1600</v>
      </c>
      <c r="P318">
        <v>774.05</v>
      </c>
      <c r="Q318" t="s">
        <v>66</v>
      </c>
      <c r="R318" t="s">
        <v>28</v>
      </c>
      <c r="S318">
        <v>3</v>
      </c>
    </row>
    <row r="319" spans="1:19">
      <c r="A319" t="s">
        <v>629</v>
      </c>
      <c r="B319" s="2">
        <v>45755</v>
      </c>
      <c r="C319" t="s">
        <v>195</v>
      </c>
      <c r="D319" t="s">
        <v>196</v>
      </c>
      <c r="E319" t="s">
        <v>22</v>
      </c>
      <c r="F319">
        <v>54</v>
      </c>
      <c r="G319" t="s">
        <v>73</v>
      </c>
      <c r="H319" t="s">
        <v>74</v>
      </c>
      <c r="I319" t="s">
        <v>117</v>
      </c>
      <c r="J319" t="s">
        <v>152</v>
      </c>
      <c r="K319">
        <v>1</v>
      </c>
      <c r="L319">
        <v>899</v>
      </c>
      <c r="M319" s="3">
        <v>0.2</v>
      </c>
      <c r="N319">
        <v>719.2</v>
      </c>
      <c r="O319">
        <v>500</v>
      </c>
      <c r="P319">
        <v>219.2</v>
      </c>
      <c r="Q319" t="s">
        <v>50</v>
      </c>
      <c r="R319" t="s">
        <v>28</v>
      </c>
      <c r="S319">
        <v>4</v>
      </c>
    </row>
    <row r="320" spans="1:19">
      <c r="A320" t="s">
        <v>630</v>
      </c>
      <c r="B320" s="2">
        <v>45791</v>
      </c>
      <c r="C320" t="s">
        <v>91</v>
      </c>
      <c r="D320" t="s">
        <v>92</v>
      </c>
      <c r="E320" t="s">
        <v>32</v>
      </c>
      <c r="F320">
        <v>43</v>
      </c>
      <c r="G320" t="s">
        <v>93</v>
      </c>
      <c r="H320" t="s">
        <v>94</v>
      </c>
      <c r="I320" t="s">
        <v>75</v>
      </c>
      <c r="J320" t="s">
        <v>86</v>
      </c>
      <c r="K320">
        <v>1</v>
      </c>
      <c r="L320">
        <v>499</v>
      </c>
      <c r="M320" s="3">
        <v>0.15</v>
      </c>
      <c r="N320">
        <v>424.15</v>
      </c>
      <c r="O320">
        <v>300</v>
      </c>
      <c r="P320">
        <v>124.15</v>
      </c>
      <c r="Q320" t="s">
        <v>27</v>
      </c>
      <c r="R320" t="s">
        <v>28</v>
      </c>
      <c r="S320">
        <v>3</v>
      </c>
    </row>
    <row r="321" spans="1:19">
      <c r="A321" t="s">
        <v>631</v>
      </c>
      <c r="B321" s="2">
        <v>46121</v>
      </c>
      <c r="C321" t="s">
        <v>632</v>
      </c>
      <c r="D321" t="s">
        <v>633</v>
      </c>
      <c r="E321" t="s">
        <v>22</v>
      </c>
      <c r="F321">
        <v>33</v>
      </c>
      <c r="G321" t="s">
        <v>55</v>
      </c>
      <c r="H321" t="s">
        <v>34</v>
      </c>
      <c r="I321" t="s">
        <v>117</v>
      </c>
      <c r="J321" t="s">
        <v>238</v>
      </c>
      <c r="K321">
        <v>3</v>
      </c>
      <c r="L321">
        <v>2499</v>
      </c>
      <c r="M321" s="3">
        <v>0.1</v>
      </c>
      <c r="N321">
        <v>6747.3</v>
      </c>
      <c r="O321">
        <v>4500</v>
      </c>
      <c r="P321">
        <v>2247.3000000000002</v>
      </c>
      <c r="Q321" t="s">
        <v>37</v>
      </c>
      <c r="R321" t="s">
        <v>28</v>
      </c>
      <c r="S321">
        <v>2</v>
      </c>
    </row>
    <row r="322" spans="1:19">
      <c r="A322" t="s">
        <v>634</v>
      </c>
      <c r="B322" s="2">
        <v>45766</v>
      </c>
      <c r="C322" t="s">
        <v>422</v>
      </c>
      <c r="D322" t="s">
        <v>423</v>
      </c>
      <c r="E322" t="s">
        <v>22</v>
      </c>
      <c r="F322">
        <v>26</v>
      </c>
      <c r="G322" t="s">
        <v>141</v>
      </c>
      <c r="H322" t="s">
        <v>142</v>
      </c>
      <c r="I322" t="s">
        <v>75</v>
      </c>
      <c r="J322" t="s">
        <v>86</v>
      </c>
      <c r="K322">
        <v>1</v>
      </c>
      <c r="L322">
        <v>499</v>
      </c>
      <c r="M322" s="3">
        <v>0.05</v>
      </c>
      <c r="N322">
        <v>474.05</v>
      </c>
      <c r="O322">
        <v>300</v>
      </c>
      <c r="P322">
        <v>174.05</v>
      </c>
      <c r="Q322" t="s">
        <v>27</v>
      </c>
      <c r="R322" t="s">
        <v>28</v>
      </c>
      <c r="S322">
        <v>3</v>
      </c>
    </row>
    <row r="323" spans="1:19">
      <c r="A323" t="s">
        <v>635</v>
      </c>
      <c r="B323" s="2">
        <v>46120</v>
      </c>
      <c r="C323" t="s">
        <v>568</v>
      </c>
      <c r="D323" t="s">
        <v>569</v>
      </c>
      <c r="E323" t="s">
        <v>22</v>
      </c>
      <c r="F323">
        <v>18</v>
      </c>
      <c r="G323" t="s">
        <v>48</v>
      </c>
      <c r="H323" t="s">
        <v>42</v>
      </c>
      <c r="I323" t="s">
        <v>25</v>
      </c>
      <c r="J323" t="s">
        <v>56</v>
      </c>
      <c r="K323">
        <v>3</v>
      </c>
      <c r="L323">
        <v>899</v>
      </c>
      <c r="M323" s="3">
        <v>0.05</v>
      </c>
      <c r="N323">
        <v>2562.15</v>
      </c>
      <c r="O323">
        <v>1650</v>
      </c>
      <c r="P323">
        <v>912.15</v>
      </c>
      <c r="Q323" t="s">
        <v>37</v>
      </c>
      <c r="R323" t="s">
        <v>28</v>
      </c>
      <c r="S323">
        <v>1</v>
      </c>
    </row>
    <row r="324" spans="1:19">
      <c r="A324" t="s">
        <v>636</v>
      </c>
      <c r="B324" s="2">
        <v>45699</v>
      </c>
      <c r="C324" t="s">
        <v>637</v>
      </c>
      <c r="D324" t="s">
        <v>638</v>
      </c>
      <c r="E324" t="s">
        <v>22</v>
      </c>
      <c r="F324">
        <v>25</v>
      </c>
      <c r="G324" t="s">
        <v>141</v>
      </c>
      <c r="H324" t="s">
        <v>142</v>
      </c>
      <c r="I324" t="s">
        <v>43</v>
      </c>
      <c r="J324" t="s">
        <v>95</v>
      </c>
      <c r="K324">
        <v>3</v>
      </c>
      <c r="L324">
        <v>2499</v>
      </c>
      <c r="M324" s="3">
        <v>0.2</v>
      </c>
      <c r="N324">
        <v>5997.6</v>
      </c>
      <c r="O324">
        <v>4500</v>
      </c>
      <c r="P324">
        <v>1497.6</v>
      </c>
      <c r="Q324" t="s">
        <v>27</v>
      </c>
      <c r="R324" t="s">
        <v>137</v>
      </c>
      <c r="S324">
        <v>3</v>
      </c>
    </row>
    <row r="325" spans="1:19">
      <c r="A325" t="s">
        <v>639</v>
      </c>
      <c r="B325" s="2">
        <v>46063</v>
      </c>
      <c r="C325" t="s">
        <v>354</v>
      </c>
      <c r="D325" t="s">
        <v>339</v>
      </c>
      <c r="E325" t="s">
        <v>32</v>
      </c>
      <c r="F325">
        <v>25</v>
      </c>
      <c r="G325" t="s">
        <v>115</v>
      </c>
      <c r="H325" t="s">
        <v>116</v>
      </c>
      <c r="I325" t="s">
        <v>25</v>
      </c>
      <c r="J325" t="s">
        <v>26</v>
      </c>
      <c r="K325">
        <v>2</v>
      </c>
      <c r="L325">
        <v>2499</v>
      </c>
      <c r="M325" s="3">
        <v>0.1</v>
      </c>
      <c r="N325">
        <v>4498.2</v>
      </c>
      <c r="O325">
        <v>3200</v>
      </c>
      <c r="P325">
        <v>1298.2</v>
      </c>
      <c r="Q325" t="s">
        <v>50</v>
      </c>
      <c r="R325" t="s">
        <v>28</v>
      </c>
      <c r="S325">
        <v>3</v>
      </c>
    </row>
    <row r="326" spans="1:19">
      <c r="A326" t="s">
        <v>640</v>
      </c>
      <c r="B326" s="2">
        <v>46121</v>
      </c>
      <c r="C326" t="s">
        <v>641</v>
      </c>
      <c r="D326" t="s">
        <v>72</v>
      </c>
      <c r="E326" t="s">
        <v>32</v>
      </c>
      <c r="F326">
        <v>51</v>
      </c>
      <c r="G326" t="s">
        <v>115</v>
      </c>
      <c r="H326" t="s">
        <v>116</v>
      </c>
      <c r="I326" t="s">
        <v>43</v>
      </c>
      <c r="J326" t="s">
        <v>95</v>
      </c>
      <c r="K326">
        <v>1</v>
      </c>
      <c r="L326">
        <v>2499</v>
      </c>
      <c r="M326" s="3">
        <v>0.15</v>
      </c>
      <c r="N326">
        <v>2124.15</v>
      </c>
      <c r="O326">
        <v>1500</v>
      </c>
      <c r="P326">
        <v>624.15</v>
      </c>
      <c r="Q326" t="s">
        <v>50</v>
      </c>
      <c r="R326" t="s">
        <v>28</v>
      </c>
      <c r="S326">
        <v>2</v>
      </c>
    </row>
    <row r="327" spans="1:19">
      <c r="A327" t="s">
        <v>642</v>
      </c>
      <c r="B327" s="2">
        <v>45782</v>
      </c>
      <c r="C327" t="s">
        <v>579</v>
      </c>
      <c r="D327" t="s">
        <v>145</v>
      </c>
      <c r="E327" t="s">
        <v>32</v>
      </c>
      <c r="F327">
        <v>22</v>
      </c>
      <c r="G327" t="s">
        <v>141</v>
      </c>
      <c r="H327" t="s">
        <v>142</v>
      </c>
      <c r="I327" t="s">
        <v>35</v>
      </c>
      <c r="J327" t="s">
        <v>136</v>
      </c>
      <c r="K327">
        <v>1</v>
      </c>
      <c r="L327">
        <v>799</v>
      </c>
      <c r="M327" s="3">
        <v>0.05</v>
      </c>
      <c r="N327">
        <v>759.05</v>
      </c>
      <c r="O327">
        <v>450</v>
      </c>
      <c r="P327">
        <v>309.05</v>
      </c>
      <c r="Q327" t="s">
        <v>69</v>
      </c>
      <c r="R327" t="s">
        <v>28</v>
      </c>
      <c r="S327">
        <v>2</v>
      </c>
    </row>
    <row r="328" spans="1:19">
      <c r="A328" t="s">
        <v>643</v>
      </c>
      <c r="B328" s="2">
        <v>45744</v>
      </c>
      <c r="C328" t="s">
        <v>342</v>
      </c>
      <c r="D328" t="s">
        <v>343</v>
      </c>
      <c r="E328" t="s">
        <v>22</v>
      </c>
      <c r="F328">
        <v>23</v>
      </c>
      <c r="G328" t="s">
        <v>48</v>
      </c>
      <c r="H328" t="s">
        <v>42</v>
      </c>
      <c r="I328" t="s">
        <v>43</v>
      </c>
      <c r="J328" t="s">
        <v>49</v>
      </c>
      <c r="K328">
        <v>4</v>
      </c>
      <c r="L328">
        <v>799</v>
      </c>
      <c r="M328" s="3">
        <v>0.1</v>
      </c>
      <c r="N328">
        <v>2876.4</v>
      </c>
      <c r="O328">
        <v>1800</v>
      </c>
      <c r="P328">
        <v>1076.4000000000001</v>
      </c>
      <c r="Q328" t="s">
        <v>50</v>
      </c>
      <c r="R328" t="s">
        <v>28</v>
      </c>
      <c r="S328">
        <v>1</v>
      </c>
    </row>
    <row r="329" spans="1:19">
      <c r="A329" t="s">
        <v>644</v>
      </c>
      <c r="B329" s="2">
        <v>45789</v>
      </c>
      <c r="C329" t="s">
        <v>113</v>
      </c>
      <c r="D329" t="s">
        <v>114</v>
      </c>
      <c r="E329" t="s">
        <v>32</v>
      </c>
      <c r="F329">
        <v>18</v>
      </c>
      <c r="G329" t="s">
        <v>115</v>
      </c>
      <c r="H329" t="s">
        <v>116</v>
      </c>
      <c r="I329" t="s">
        <v>25</v>
      </c>
      <c r="J329" t="s">
        <v>26</v>
      </c>
      <c r="K329">
        <v>2</v>
      </c>
      <c r="L329">
        <v>2499</v>
      </c>
      <c r="M329" s="3">
        <v>0.15</v>
      </c>
      <c r="N329">
        <v>4248.3</v>
      </c>
      <c r="O329">
        <v>3200</v>
      </c>
      <c r="P329">
        <v>1048.3</v>
      </c>
      <c r="Q329" t="s">
        <v>69</v>
      </c>
      <c r="R329" t="s">
        <v>77</v>
      </c>
      <c r="S329">
        <v>3</v>
      </c>
    </row>
    <row r="330" spans="1:19">
      <c r="A330" t="s">
        <v>645</v>
      </c>
      <c r="B330" s="2">
        <v>45830</v>
      </c>
      <c r="C330" t="s">
        <v>243</v>
      </c>
      <c r="D330" t="s">
        <v>244</v>
      </c>
      <c r="E330" t="s">
        <v>22</v>
      </c>
      <c r="F330">
        <v>38</v>
      </c>
      <c r="G330" t="s">
        <v>23</v>
      </c>
      <c r="H330" t="s">
        <v>24</v>
      </c>
      <c r="I330" t="s">
        <v>25</v>
      </c>
      <c r="J330" t="s">
        <v>68</v>
      </c>
      <c r="K330">
        <v>4</v>
      </c>
      <c r="L330">
        <v>2999</v>
      </c>
      <c r="M330" s="3">
        <v>0</v>
      </c>
      <c r="N330">
        <v>11996</v>
      </c>
      <c r="O330">
        <v>7600</v>
      </c>
      <c r="P330">
        <v>4396</v>
      </c>
      <c r="Q330" t="s">
        <v>50</v>
      </c>
      <c r="R330" t="s">
        <v>28</v>
      </c>
      <c r="S330">
        <v>4</v>
      </c>
    </row>
    <row r="331" spans="1:19">
      <c r="A331" t="s">
        <v>646</v>
      </c>
      <c r="B331" s="2">
        <v>45834</v>
      </c>
      <c r="C331" t="s">
        <v>207</v>
      </c>
      <c r="D331" t="s">
        <v>72</v>
      </c>
      <c r="E331" t="s">
        <v>22</v>
      </c>
      <c r="F331">
        <v>48</v>
      </c>
      <c r="G331" t="s">
        <v>180</v>
      </c>
      <c r="H331" t="s">
        <v>181</v>
      </c>
      <c r="I331" t="s">
        <v>25</v>
      </c>
      <c r="J331" t="s">
        <v>156</v>
      </c>
      <c r="K331">
        <v>4</v>
      </c>
      <c r="L331">
        <v>1999</v>
      </c>
      <c r="M331" s="3">
        <v>0.15</v>
      </c>
      <c r="N331">
        <v>6796.6</v>
      </c>
      <c r="O331">
        <v>5200</v>
      </c>
      <c r="P331">
        <v>1596.6</v>
      </c>
      <c r="Q331" t="s">
        <v>37</v>
      </c>
      <c r="R331" t="s">
        <v>28</v>
      </c>
      <c r="S331">
        <v>2</v>
      </c>
    </row>
    <row r="332" spans="1:19">
      <c r="A332" t="s">
        <v>647</v>
      </c>
      <c r="B332" s="2">
        <v>45693</v>
      </c>
      <c r="C332" t="s">
        <v>648</v>
      </c>
      <c r="D332" t="s">
        <v>649</v>
      </c>
      <c r="E332" t="s">
        <v>32</v>
      </c>
      <c r="F332">
        <v>34</v>
      </c>
      <c r="G332" t="s">
        <v>23</v>
      </c>
      <c r="H332" t="s">
        <v>24</v>
      </c>
      <c r="I332" t="s">
        <v>43</v>
      </c>
      <c r="J332" t="s">
        <v>197</v>
      </c>
      <c r="K332">
        <v>4</v>
      </c>
      <c r="L332">
        <v>1799</v>
      </c>
      <c r="M332" s="3">
        <v>0.05</v>
      </c>
      <c r="N332">
        <v>6836.2</v>
      </c>
      <c r="O332">
        <v>4200</v>
      </c>
      <c r="P332">
        <v>2636.2</v>
      </c>
      <c r="Q332" t="s">
        <v>50</v>
      </c>
      <c r="R332" t="s">
        <v>28</v>
      </c>
      <c r="S332">
        <v>2</v>
      </c>
    </row>
    <row r="333" spans="1:19">
      <c r="A333" t="s">
        <v>650</v>
      </c>
      <c r="B333" s="2">
        <v>46148</v>
      </c>
      <c r="C333" t="s">
        <v>204</v>
      </c>
      <c r="D333" t="s">
        <v>205</v>
      </c>
      <c r="E333" t="s">
        <v>22</v>
      </c>
      <c r="F333">
        <v>45</v>
      </c>
      <c r="G333" t="s">
        <v>81</v>
      </c>
      <c r="H333" t="s">
        <v>82</v>
      </c>
      <c r="I333" t="s">
        <v>35</v>
      </c>
      <c r="J333" t="s">
        <v>36</v>
      </c>
      <c r="K333">
        <v>4</v>
      </c>
      <c r="L333">
        <v>599</v>
      </c>
      <c r="M333" s="3">
        <v>0.2</v>
      </c>
      <c r="N333">
        <v>1916.8</v>
      </c>
      <c r="O333">
        <v>1280</v>
      </c>
      <c r="P333">
        <v>636.79999999999995</v>
      </c>
      <c r="Q333" t="s">
        <v>69</v>
      </c>
      <c r="R333" t="s">
        <v>28</v>
      </c>
      <c r="S333">
        <v>4</v>
      </c>
    </row>
    <row r="334" spans="1:19">
      <c r="A334" t="s">
        <v>651</v>
      </c>
      <c r="B334" s="2">
        <v>45913</v>
      </c>
      <c r="C334" t="s">
        <v>359</v>
      </c>
      <c r="D334" t="s">
        <v>360</v>
      </c>
      <c r="E334" t="s">
        <v>32</v>
      </c>
      <c r="F334">
        <v>51</v>
      </c>
      <c r="G334" t="s">
        <v>251</v>
      </c>
      <c r="H334" t="s">
        <v>251</v>
      </c>
      <c r="I334" t="s">
        <v>163</v>
      </c>
      <c r="J334" t="s">
        <v>234</v>
      </c>
      <c r="K334">
        <v>2</v>
      </c>
      <c r="L334">
        <v>999</v>
      </c>
      <c r="M334" s="3">
        <v>0.2</v>
      </c>
      <c r="N334">
        <v>1598.4</v>
      </c>
      <c r="O334">
        <v>1200</v>
      </c>
      <c r="P334">
        <v>398.4</v>
      </c>
      <c r="Q334" t="s">
        <v>50</v>
      </c>
      <c r="R334" t="s">
        <v>137</v>
      </c>
      <c r="S334">
        <v>4</v>
      </c>
    </row>
    <row r="335" spans="1:19">
      <c r="A335" t="s">
        <v>652</v>
      </c>
      <c r="B335" s="2">
        <v>46237</v>
      </c>
      <c r="C335" t="s">
        <v>653</v>
      </c>
      <c r="D335" t="s">
        <v>255</v>
      </c>
      <c r="E335" t="s">
        <v>32</v>
      </c>
      <c r="F335">
        <v>38</v>
      </c>
      <c r="G335" t="s">
        <v>93</v>
      </c>
      <c r="H335" t="s">
        <v>94</v>
      </c>
      <c r="I335" t="s">
        <v>35</v>
      </c>
      <c r="J335" t="s">
        <v>36</v>
      </c>
      <c r="K335">
        <v>4</v>
      </c>
      <c r="L335">
        <v>599</v>
      </c>
      <c r="M335" s="3">
        <v>0.1</v>
      </c>
      <c r="N335">
        <v>2156.4</v>
      </c>
      <c r="O335">
        <v>1280</v>
      </c>
      <c r="P335">
        <v>876.4</v>
      </c>
      <c r="Q335" t="s">
        <v>50</v>
      </c>
      <c r="R335" t="s">
        <v>28</v>
      </c>
      <c r="S335">
        <v>3</v>
      </c>
    </row>
    <row r="336" spans="1:19">
      <c r="A336" t="s">
        <v>654</v>
      </c>
      <c r="B336" s="2">
        <v>45882</v>
      </c>
      <c r="C336" t="s">
        <v>338</v>
      </c>
      <c r="D336" t="s">
        <v>339</v>
      </c>
      <c r="E336" t="s">
        <v>32</v>
      </c>
      <c r="F336">
        <v>24</v>
      </c>
      <c r="G336" t="s">
        <v>73</v>
      </c>
      <c r="H336" t="s">
        <v>74</v>
      </c>
      <c r="I336" t="s">
        <v>25</v>
      </c>
      <c r="J336" t="s">
        <v>156</v>
      </c>
      <c r="K336">
        <v>3</v>
      </c>
      <c r="L336">
        <v>1999</v>
      </c>
      <c r="M336" s="3">
        <v>0.2</v>
      </c>
      <c r="N336">
        <v>4797.6000000000004</v>
      </c>
      <c r="O336">
        <v>3900</v>
      </c>
      <c r="P336">
        <v>897.6</v>
      </c>
      <c r="Q336" t="s">
        <v>69</v>
      </c>
      <c r="R336" t="s">
        <v>77</v>
      </c>
      <c r="S336">
        <v>3</v>
      </c>
    </row>
    <row r="337" spans="1:19">
      <c r="A337" t="s">
        <v>655</v>
      </c>
      <c r="B337" s="2">
        <v>45896</v>
      </c>
      <c r="C337" t="s">
        <v>384</v>
      </c>
      <c r="D337" t="s">
        <v>385</v>
      </c>
      <c r="E337" t="s">
        <v>32</v>
      </c>
      <c r="F337">
        <v>22</v>
      </c>
      <c r="G337" t="s">
        <v>48</v>
      </c>
      <c r="H337" t="s">
        <v>42</v>
      </c>
      <c r="I337" t="s">
        <v>35</v>
      </c>
      <c r="J337" t="s">
        <v>36</v>
      </c>
      <c r="K337">
        <v>3</v>
      </c>
      <c r="L337">
        <v>599</v>
      </c>
      <c r="M337" s="3">
        <v>0.2</v>
      </c>
      <c r="N337">
        <v>1437.6</v>
      </c>
      <c r="O337">
        <v>960</v>
      </c>
      <c r="P337">
        <v>477.6</v>
      </c>
      <c r="Q337" t="s">
        <v>27</v>
      </c>
      <c r="R337" t="s">
        <v>28</v>
      </c>
      <c r="S337">
        <v>2</v>
      </c>
    </row>
    <row r="338" spans="1:19">
      <c r="A338" t="s">
        <v>656</v>
      </c>
      <c r="B338" s="2">
        <v>46247</v>
      </c>
      <c r="C338" t="s">
        <v>154</v>
      </c>
      <c r="D338" t="s">
        <v>155</v>
      </c>
      <c r="E338" t="s">
        <v>22</v>
      </c>
      <c r="F338">
        <v>53</v>
      </c>
      <c r="G338" t="s">
        <v>105</v>
      </c>
      <c r="H338" t="s">
        <v>105</v>
      </c>
      <c r="I338" t="s">
        <v>35</v>
      </c>
      <c r="J338" t="s">
        <v>126</v>
      </c>
      <c r="K338">
        <v>1</v>
      </c>
      <c r="L338">
        <v>1499</v>
      </c>
      <c r="M338" s="3">
        <v>0.05</v>
      </c>
      <c r="N338">
        <v>1424.05</v>
      </c>
      <c r="O338">
        <v>850</v>
      </c>
      <c r="P338">
        <v>574.04999999999995</v>
      </c>
      <c r="Q338" t="s">
        <v>66</v>
      </c>
      <c r="R338" t="s">
        <v>28</v>
      </c>
      <c r="S338">
        <v>2</v>
      </c>
    </row>
    <row r="339" spans="1:19">
      <c r="A339" t="s">
        <v>657</v>
      </c>
      <c r="B339" s="2">
        <v>46263</v>
      </c>
      <c r="C339" t="s">
        <v>511</v>
      </c>
      <c r="D339" t="s">
        <v>512</v>
      </c>
      <c r="E339" t="s">
        <v>22</v>
      </c>
      <c r="F339">
        <v>24</v>
      </c>
      <c r="G339" t="s">
        <v>115</v>
      </c>
      <c r="H339" t="s">
        <v>116</v>
      </c>
      <c r="I339" t="s">
        <v>43</v>
      </c>
      <c r="J339" t="s">
        <v>281</v>
      </c>
      <c r="K339">
        <v>3</v>
      </c>
      <c r="L339">
        <v>2999</v>
      </c>
      <c r="M339" s="3">
        <v>0.1</v>
      </c>
      <c r="N339">
        <v>8097.3</v>
      </c>
      <c r="O339">
        <v>5400</v>
      </c>
      <c r="P339">
        <v>2697.3</v>
      </c>
      <c r="Q339" t="s">
        <v>69</v>
      </c>
      <c r="R339" t="s">
        <v>28</v>
      </c>
      <c r="S339">
        <v>3</v>
      </c>
    </row>
    <row r="340" spans="1:19">
      <c r="A340" t="s">
        <v>658</v>
      </c>
      <c r="B340" s="2">
        <v>45850</v>
      </c>
      <c r="C340" t="s">
        <v>292</v>
      </c>
      <c r="D340" t="s">
        <v>293</v>
      </c>
      <c r="E340" t="s">
        <v>32</v>
      </c>
      <c r="F340">
        <v>29</v>
      </c>
      <c r="G340" t="s">
        <v>180</v>
      </c>
      <c r="H340" t="s">
        <v>181</v>
      </c>
      <c r="I340" t="s">
        <v>75</v>
      </c>
      <c r="J340" t="s">
        <v>86</v>
      </c>
      <c r="K340">
        <v>2</v>
      </c>
      <c r="L340">
        <v>499</v>
      </c>
      <c r="M340" s="3">
        <v>0.2</v>
      </c>
      <c r="N340">
        <v>798.4</v>
      </c>
      <c r="O340">
        <v>600</v>
      </c>
      <c r="P340">
        <v>198.4</v>
      </c>
      <c r="Q340" t="s">
        <v>66</v>
      </c>
      <c r="R340" t="s">
        <v>28</v>
      </c>
      <c r="S340">
        <v>2</v>
      </c>
    </row>
    <row r="341" spans="1:19">
      <c r="A341" t="s">
        <v>659</v>
      </c>
      <c r="B341" s="2">
        <v>45896</v>
      </c>
      <c r="C341" t="s">
        <v>64</v>
      </c>
      <c r="D341" t="s">
        <v>65</v>
      </c>
      <c r="E341" t="s">
        <v>32</v>
      </c>
      <c r="F341">
        <v>31</v>
      </c>
      <c r="G341" t="s">
        <v>33</v>
      </c>
      <c r="H341" t="s">
        <v>34</v>
      </c>
      <c r="I341" t="s">
        <v>25</v>
      </c>
      <c r="J341" t="s">
        <v>68</v>
      </c>
      <c r="K341">
        <v>1</v>
      </c>
      <c r="L341">
        <v>2999</v>
      </c>
      <c r="M341" s="3">
        <v>0</v>
      </c>
      <c r="N341">
        <v>2999</v>
      </c>
      <c r="O341">
        <v>1900</v>
      </c>
      <c r="P341">
        <v>1099</v>
      </c>
      <c r="Q341" t="s">
        <v>50</v>
      </c>
      <c r="R341" t="s">
        <v>28</v>
      </c>
      <c r="S341">
        <v>5</v>
      </c>
    </row>
    <row r="342" spans="1:19">
      <c r="A342" t="s">
        <v>660</v>
      </c>
      <c r="B342" s="2">
        <v>45864</v>
      </c>
      <c r="C342" t="s">
        <v>448</v>
      </c>
      <c r="D342" t="s">
        <v>449</v>
      </c>
      <c r="E342" t="s">
        <v>22</v>
      </c>
      <c r="F342">
        <v>43</v>
      </c>
      <c r="G342" t="s">
        <v>81</v>
      </c>
      <c r="H342" t="s">
        <v>82</v>
      </c>
      <c r="I342" t="s">
        <v>25</v>
      </c>
      <c r="J342" t="s">
        <v>156</v>
      </c>
      <c r="K342">
        <v>3</v>
      </c>
      <c r="L342">
        <v>1999</v>
      </c>
      <c r="M342" s="3">
        <v>0.2</v>
      </c>
      <c r="N342">
        <v>4797.6000000000004</v>
      </c>
      <c r="O342">
        <v>3900</v>
      </c>
      <c r="P342">
        <v>897.6</v>
      </c>
      <c r="Q342" t="s">
        <v>27</v>
      </c>
      <c r="R342" t="s">
        <v>28</v>
      </c>
      <c r="S342">
        <v>2</v>
      </c>
    </row>
    <row r="343" spans="1:19">
      <c r="A343" t="s">
        <v>661</v>
      </c>
      <c r="B343" s="2">
        <v>46258</v>
      </c>
      <c r="C343" t="s">
        <v>110</v>
      </c>
      <c r="D343" t="s">
        <v>111</v>
      </c>
      <c r="E343" t="s">
        <v>22</v>
      </c>
      <c r="F343">
        <v>47</v>
      </c>
      <c r="G343" t="s">
        <v>48</v>
      </c>
      <c r="H343" t="s">
        <v>42</v>
      </c>
      <c r="I343" t="s">
        <v>25</v>
      </c>
      <c r="J343" t="s">
        <v>68</v>
      </c>
      <c r="K343">
        <v>1</v>
      </c>
      <c r="L343">
        <v>2999</v>
      </c>
      <c r="M343" s="3">
        <v>0.05</v>
      </c>
      <c r="N343">
        <v>2849.05</v>
      </c>
      <c r="O343">
        <v>1900</v>
      </c>
      <c r="P343">
        <v>949.05</v>
      </c>
      <c r="Q343" t="s">
        <v>27</v>
      </c>
      <c r="R343" t="s">
        <v>28</v>
      </c>
      <c r="S343">
        <v>5</v>
      </c>
    </row>
    <row r="344" spans="1:19">
      <c r="A344" t="s">
        <v>662</v>
      </c>
      <c r="B344" s="2">
        <v>46258</v>
      </c>
      <c r="C344" t="s">
        <v>663</v>
      </c>
      <c r="D344" t="s">
        <v>382</v>
      </c>
      <c r="E344" t="s">
        <v>32</v>
      </c>
      <c r="F344">
        <v>53</v>
      </c>
      <c r="G344" t="s">
        <v>73</v>
      </c>
      <c r="H344" t="s">
        <v>74</v>
      </c>
      <c r="I344" t="s">
        <v>25</v>
      </c>
      <c r="J344" t="s">
        <v>26</v>
      </c>
      <c r="K344">
        <v>3</v>
      </c>
      <c r="L344">
        <v>2499</v>
      </c>
      <c r="M344" s="3">
        <v>0.15</v>
      </c>
      <c r="N344">
        <v>6372.45</v>
      </c>
      <c r="O344">
        <v>4800</v>
      </c>
      <c r="P344">
        <v>1572.45</v>
      </c>
      <c r="Q344" t="s">
        <v>69</v>
      </c>
      <c r="R344" t="s">
        <v>28</v>
      </c>
      <c r="S344">
        <v>3</v>
      </c>
    </row>
    <row r="345" spans="1:19">
      <c r="A345" t="s">
        <v>664</v>
      </c>
      <c r="B345" s="2">
        <v>45982</v>
      </c>
      <c r="C345" t="s">
        <v>422</v>
      </c>
      <c r="D345" t="s">
        <v>423</v>
      </c>
      <c r="E345" t="s">
        <v>22</v>
      </c>
      <c r="F345">
        <v>26</v>
      </c>
      <c r="G345" t="s">
        <v>141</v>
      </c>
      <c r="H345" t="s">
        <v>142</v>
      </c>
      <c r="I345" t="s">
        <v>43</v>
      </c>
      <c r="J345" t="s">
        <v>95</v>
      </c>
      <c r="K345">
        <v>4</v>
      </c>
      <c r="L345">
        <v>2499</v>
      </c>
      <c r="M345" s="3">
        <v>0.15</v>
      </c>
      <c r="N345">
        <v>8496.6</v>
      </c>
      <c r="O345">
        <v>6000</v>
      </c>
      <c r="P345">
        <v>2496.6</v>
      </c>
      <c r="Q345" t="s">
        <v>27</v>
      </c>
      <c r="R345" t="s">
        <v>28</v>
      </c>
      <c r="S345">
        <v>5</v>
      </c>
    </row>
    <row r="346" spans="1:19">
      <c r="A346" t="s">
        <v>665</v>
      </c>
      <c r="B346" s="2">
        <v>45972</v>
      </c>
      <c r="C346" t="s">
        <v>653</v>
      </c>
      <c r="D346" t="s">
        <v>255</v>
      </c>
      <c r="E346" t="s">
        <v>32</v>
      </c>
      <c r="F346">
        <v>38</v>
      </c>
      <c r="G346" t="s">
        <v>93</v>
      </c>
      <c r="H346" t="s">
        <v>94</v>
      </c>
      <c r="I346" t="s">
        <v>43</v>
      </c>
      <c r="J346" t="s">
        <v>281</v>
      </c>
      <c r="K346">
        <v>2</v>
      </c>
      <c r="L346">
        <v>2999</v>
      </c>
      <c r="M346" s="3">
        <v>0.15</v>
      </c>
      <c r="N346">
        <v>5098.3</v>
      </c>
      <c r="O346">
        <v>3600</v>
      </c>
      <c r="P346">
        <v>1498.3</v>
      </c>
      <c r="Q346" t="s">
        <v>37</v>
      </c>
      <c r="R346" t="s">
        <v>28</v>
      </c>
      <c r="S346">
        <v>1</v>
      </c>
    </row>
    <row r="347" spans="1:19">
      <c r="A347" t="s">
        <v>666</v>
      </c>
      <c r="B347" s="2">
        <v>45983</v>
      </c>
      <c r="C347" t="s">
        <v>283</v>
      </c>
      <c r="D347" t="s">
        <v>284</v>
      </c>
      <c r="E347" t="s">
        <v>32</v>
      </c>
      <c r="F347">
        <v>39</v>
      </c>
      <c r="G347" t="s">
        <v>55</v>
      </c>
      <c r="H347" t="s">
        <v>34</v>
      </c>
      <c r="I347" t="s">
        <v>163</v>
      </c>
      <c r="J347" t="s">
        <v>290</v>
      </c>
      <c r="K347">
        <v>1</v>
      </c>
      <c r="L347">
        <v>1999</v>
      </c>
      <c r="M347" s="3">
        <v>0.05</v>
      </c>
      <c r="N347">
        <v>1899.05</v>
      </c>
      <c r="O347">
        <v>1200</v>
      </c>
      <c r="P347">
        <v>699.05</v>
      </c>
      <c r="Q347" t="s">
        <v>50</v>
      </c>
      <c r="R347" t="s">
        <v>28</v>
      </c>
      <c r="S347">
        <v>5</v>
      </c>
    </row>
    <row r="348" spans="1:19">
      <c r="A348" t="s">
        <v>667</v>
      </c>
      <c r="B348" s="2">
        <v>45737</v>
      </c>
      <c r="C348" t="s">
        <v>595</v>
      </c>
      <c r="D348" t="s">
        <v>596</v>
      </c>
      <c r="E348" t="s">
        <v>22</v>
      </c>
      <c r="F348">
        <v>25</v>
      </c>
      <c r="G348" t="s">
        <v>180</v>
      </c>
      <c r="H348" t="s">
        <v>181</v>
      </c>
      <c r="I348" t="s">
        <v>35</v>
      </c>
      <c r="J348" t="s">
        <v>36</v>
      </c>
      <c r="K348">
        <v>2</v>
      </c>
      <c r="L348">
        <v>599</v>
      </c>
      <c r="M348" s="3">
        <v>0.1</v>
      </c>
      <c r="N348">
        <v>1078.2</v>
      </c>
      <c r="O348">
        <v>640</v>
      </c>
      <c r="P348">
        <v>438.2</v>
      </c>
      <c r="Q348" t="s">
        <v>27</v>
      </c>
      <c r="R348" t="s">
        <v>28</v>
      </c>
      <c r="S348">
        <v>3</v>
      </c>
    </row>
    <row r="349" spans="1:19">
      <c r="A349" t="s">
        <v>668</v>
      </c>
      <c r="B349" s="2">
        <v>46115</v>
      </c>
      <c r="C349" t="s">
        <v>553</v>
      </c>
      <c r="D349" t="s">
        <v>554</v>
      </c>
      <c r="E349" t="s">
        <v>22</v>
      </c>
      <c r="F349">
        <v>54</v>
      </c>
      <c r="G349" t="s">
        <v>23</v>
      </c>
      <c r="H349" t="s">
        <v>24</v>
      </c>
      <c r="I349" t="s">
        <v>75</v>
      </c>
      <c r="J349" t="s">
        <v>76</v>
      </c>
      <c r="K349">
        <v>1</v>
      </c>
      <c r="L349">
        <v>399</v>
      </c>
      <c r="M349" s="3">
        <v>0.1</v>
      </c>
      <c r="N349">
        <v>359.1</v>
      </c>
      <c r="O349">
        <v>220</v>
      </c>
      <c r="P349">
        <v>139.1</v>
      </c>
      <c r="Q349" t="s">
        <v>69</v>
      </c>
      <c r="R349" t="s">
        <v>28</v>
      </c>
      <c r="S349">
        <v>2</v>
      </c>
    </row>
    <row r="350" spans="1:19">
      <c r="A350" t="s">
        <v>669</v>
      </c>
      <c r="B350" s="2">
        <v>45659</v>
      </c>
      <c r="C350" t="s">
        <v>670</v>
      </c>
      <c r="D350" t="s">
        <v>671</v>
      </c>
      <c r="E350" t="s">
        <v>22</v>
      </c>
      <c r="F350">
        <v>38</v>
      </c>
      <c r="G350" t="s">
        <v>180</v>
      </c>
      <c r="H350" t="s">
        <v>181</v>
      </c>
      <c r="I350" t="s">
        <v>163</v>
      </c>
      <c r="J350" t="s">
        <v>214</v>
      </c>
      <c r="K350">
        <v>3</v>
      </c>
      <c r="L350">
        <v>1499</v>
      </c>
      <c r="M350" s="3">
        <v>0</v>
      </c>
      <c r="N350">
        <v>4497</v>
      </c>
      <c r="O350">
        <v>2700</v>
      </c>
      <c r="P350">
        <v>1797</v>
      </c>
      <c r="Q350" t="s">
        <v>69</v>
      </c>
      <c r="R350" t="s">
        <v>28</v>
      </c>
      <c r="S350">
        <v>4</v>
      </c>
    </row>
    <row r="351" spans="1:19">
      <c r="A351" t="s">
        <v>672</v>
      </c>
      <c r="B351" s="2">
        <v>46017</v>
      </c>
      <c r="C351" t="s">
        <v>553</v>
      </c>
      <c r="D351" t="s">
        <v>554</v>
      </c>
      <c r="E351" t="s">
        <v>22</v>
      </c>
      <c r="F351">
        <v>54</v>
      </c>
      <c r="G351" t="s">
        <v>23</v>
      </c>
      <c r="H351" t="s">
        <v>24</v>
      </c>
      <c r="I351" t="s">
        <v>163</v>
      </c>
      <c r="J351" t="s">
        <v>234</v>
      </c>
      <c r="K351">
        <v>4</v>
      </c>
      <c r="L351">
        <v>999</v>
      </c>
      <c r="M351" s="3">
        <v>0.15</v>
      </c>
      <c r="N351">
        <v>3396.6</v>
      </c>
      <c r="O351">
        <v>2400</v>
      </c>
      <c r="P351">
        <v>996.6</v>
      </c>
      <c r="Q351" t="s">
        <v>50</v>
      </c>
      <c r="R351" t="s">
        <v>28</v>
      </c>
      <c r="S351">
        <v>4</v>
      </c>
    </row>
    <row r="352" spans="1:19">
      <c r="A352" t="s">
        <v>673</v>
      </c>
      <c r="B352" s="2">
        <v>46120</v>
      </c>
      <c r="C352" t="s">
        <v>71</v>
      </c>
      <c r="D352" t="s">
        <v>72</v>
      </c>
      <c r="E352" t="s">
        <v>32</v>
      </c>
      <c r="F352">
        <v>53</v>
      </c>
      <c r="G352" t="s">
        <v>73</v>
      </c>
      <c r="H352" t="s">
        <v>74</v>
      </c>
      <c r="I352" t="s">
        <v>75</v>
      </c>
      <c r="J352" t="s">
        <v>76</v>
      </c>
      <c r="K352">
        <v>2</v>
      </c>
      <c r="L352">
        <v>399</v>
      </c>
      <c r="M352" s="3">
        <v>0.05</v>
      </c>
      <c r="N352">
        <v>758.1</v>
      </c>
      <c r="O352">
        <v>440</v>
      </c>
      <c r="P352">
        <v>318.10000000000002</v>
      </c>
      <c r="Q352" t="s">
        <v>69</v>
      </c>
      <c r="R352" t="s">
        <v>137</v>
      </c>
      <c r="S352">
        <v>1</v>
      </c>
    </row>
    <row r="353" spans="1:19">
      <c r="A353" t="s">
        <v>674</v>
      </c>
      <c r="B353" s="2">
        <v>45765</v>
      </c>
      <c r="C353" t="s">
        <v>204</v>
      </c>
      <c r="D353" t="s">
        <v>205</v>
      </c>
      <c r="E353" t="s">
        <v>22</v>
      </c>
      <c r="F353">
        <v>45</v>
      </c>
      <c r="G353" t="s">
        <v>81</v>
      </c>
      <c r="H353" t="s">
        <v>82</v>
      </c>
      <c r="I353" t="s">
        <v>25</v>
      </c>
      <c r="J353" t="s">
        <v>156</v>
      </c>
      <c r="K353">
        <v>3</v>
      </c>
      <c r="L353">
        <v>1999</v>
      </c>
      <c r="M353" s="3">
        <v>0.1</v>
      </c>
      <c r="N353">
        <v>5397.3</v>
      </c>
      <c r="O353">
        <v>3900</v>
      </c>
      <c r="P353">
        <v>1497.3</v>
      </c>
      <c r="Q353" t="s">
        <v>69</v>
      </c>
      <c r="R353" t="s">
        <v>28</v>
      </c>
      <c r="S353">
        <v>4</v>
      </c>
    </row>
    <row r="354" spans="1:19">
      <c r="A354" t="s">
        <v>675</v>
      </c>
      <c r="B354" s="2">
        <v>45753</v>
      </c>
      <c r="C354" t="s">
        <v>676</v>
      </c>
      <c r="D354" t="s">
        <v>293</v>
      </c>
      <c r="E354" t="s">
        <v>22</v>
      </c>
      <c r="F354">
        <v>35</v>
      </c>
      <c r="G354" t="s">
        <v>23</v>
      </c>
      <c r="H354" t="s">
        <v>24</v>
      </c>
      <c r="I354" t="s">
        <v>117</v>
      </c>
      <c r="J354" t="s">
        <v>152</v>
      </c>
      <c r="K354">
        <v>1</v>
      </c>
      <c r="L354">
        <v>899</v>
      </c>
      <c r="M354" s="3">
        <v>0.2</v>
      </c>
      <c r="N354">
        <v>719.2</v>
      </c>
      <c r="O354">
        <v>500</v>
      </c>
      <c r="P354">
        <v>219.2</v>
      </c>
      <c r="Q354" t="s">
        <v>37</v>
      </c>
      <c r="R354" t="s">
        <v>28</v>
      </c>
      <c r="S354">
        <v>5</v>
      </c>
    </row>
    <row r="355" spans="1:19">
      <c r="A355" t="s">
        <v>677</v>
      </c>
      <c r="B355" s="2">
        <v>45826</v>
      </c>
      <c r="C355" t="s">
        <v>148</v>
      </c>
      <c r="D355" t="s">
        <v>47</v>
      </c>
      <c r="E355" t="s">
        <v>22</v>
      </c>
      <c r="F355">
        <v>23</v>
      </c>
      <c r="G355" t="s">
        <v>93</v>
      </c>
      <c r="H355" t="s">
        <v>94</v>
      </c>
      <c r="I355" t="s">
        <v>117</v>
      </c>
      <c r="J355" t="s">
        <v>238</v>
      </c>
      <c r="K355">
        <v>1</v>
      </c>
      <c r="L355">
        <v>2499</v>
      </c>
      <c r="M355" s="3">
        <v>0.15</v>
      </c>
      <c r="N355">
        <v>2124.15</v>
      </c>
      <c r="O355">
        <v>1500</v>
      </c>
      <c r="P355">
        <v>624.15</v>
      </c>
      <c r="Q355" t="s">
        <v>50</v>
      </c>
      <c r="R355" t="s">
        <v>77</v>
      </c>
      <c r="S355">
        <v>2</v>
      </c>
    </row>
    <row r="356" spans="1:19">
      <c r="A356" t="s">
        <v>678</v>
      </c>
      <c r="B356" s="2">
        <v>45852</v>
      </c>
      <c r="C356" t="s">
        <v>332</v>
      </c>
      <c r="D356" t="s">
        <v>333</v>
      </c>
      <c r="E356" t="s">
        <v>32</v>
      </c>
      <c r="F356">
        <v>28</v>
      </c>
      <c r="G356" t="s">
        <v>93</v>
      </c>
      <c r="H356" t="s">
        <v>94</v>
      </c>
      <c r="I356" t="s">
        <v>25</v>
      </c>
      <c r="J356" t="s">
        <v>56</v>
      </c>
      <c r="K356">
        <v>3</v>
      </c>
      <c r="L356">
        <v>899</v>
      </c>
      <c r="M356" s="3">
        <v>0.05</v>
      </c>
      <c r="N356">
        <v>2562.15</v>
      </c>
      <c r="O356">
        <v>1650</v>
      </c>
      <c r="P356">
        <v>912.15</v>
      </c>
      <c r="Q356" t="s">
        <v>66</v>
      </c>
      <c r="R356" t="s">
        <v>28</v>
      </c>
      <c r="S356">
        <v>5</v>
      </c>
    </row>
    <row r="357" spans="1:19">
      <c r="A357" t="s">
        <v>679</v>
      </c>
      <c r="B357" s="2">
        <v>45901</v>
      </c>
      <c r="C357" t="s">
        <v>393</v>
      </c>
      <c r="D357" t="s">
        <v>394</v>
      </c>
      <c r="E357" t="s">
        <v>22</v>
      </c>
      <c r="F357">
        <v>26</v>
      </c>
      <c r="G357" t="s">
        <v>41</v>
      </c>
      <c r="H357" t="s">
        <v>42</v>
      </c>
      <c r="I357" t="s">
        <v>117</v>
      </c>
      <c r="J357" t="s">
        <v>118</v>
      </c>
      <c r="K357">
        <v>3</v>
      </c>
      <c r="L357">
        <v>999</v>
      </c>
      <c r="M357" s="3">
        <v>0.1</v>
      </c>
      <c r="N357">
        <v>2697.3</v>
      </c>
      <c r="O357">
        <v>1650</v>
      </c>
      <c r="P357">
        <v>1047.3</v>
      </c>
      <c r="Q357" t="s">
        <v>69</v>
      </c>
      <c r="R357" t="s">
        <v>28</v>
      </c>
      <c r="S357">
        <v>5</v>
      </c>
    </row>
    <row r="358" spans="1:19">
      <c r="A358" t="s">
        <v>680</v>
      </c>
      <c r="B358" s="2">
        <v>46027</v>
      </c>
      <c r="C358" t="s">
        <v>397</v>
      </c>
      <c r="D358" t="s">
        <v>284</v>
      </c>
      <c r="E358" t="s">
        <v>22</v>
      </c>
      <c r="F358">
        <v>51</v>
      </c>
      <c r="G358" t="s">
        <v>33</v>
      </c>
      <c r="H358" t="s">
        <v>34</v>
      </c>
      <c r="I358" t="s">
        <v>35</v>
      </c>
      <c r="J358" t="s">
        <v>36</v>
      </c>
      <c r="K358">
        <v>2</v>
      </c>
      <c r="L358">
        <v>599</v>
      </c>
      <c r="M358" s="3">
        <v>0</v>
      </c>
      <c r="N358">
        <v>1198</v>
      </c>
      <c r="O358">
        <v>640</v>
      </c>
      <c r="P358">
        <v>558</v>
      </c>
      <c r="Q358" t="s">
        <v>69</v>
      </c>
      <c r="R358" t="s">
        <v>28</v>
      </c>
      <c r="S358">
        <v>3</v>
      </c>
    </row>
    <row r="359" spans="1:19">
      <c r="A359" t="s">
        <v>681</v>
      </c>
      <c r="B359" s="2">
        <v>45869</v>
      </c>
      <c r="C359" t="s">
        <v>448</v>
      </c>
      <c r="D359" t="s">
        <v>449</v>
      </c>
      <c r="E359" t="s">
        <v>22</v>
      </c>
      <c r="F359">
        <v>43</v>
      </c>
      <c r="G359" t="s">
        <v>81</v>
      </c>
      <c r="H359" t="s">
        <v>82</v>
      </c>
      <c r="I359" t="s">
        <v>43</v>
      </c>
      <c r="J359" t="s">
        <v>49</v>
      </c>
      <c r="K359">
        <v>1</v>
      </c>
      <c r="L359">
        <v>799</v>
      </c>
      <c r="M359" s="3">
        <v>0</v>
      </c>
      <c r="N359">
        <v>799</v>
      </c>
      <c r="O359">
        <v>450</v>
      </c>
      <c r="P359">
        <v>349</v>
      </c>
      <c r="Q359" t="s">
        <v>27</v>
      </c>
      <c r="R359" t="s">
        <v>28</v>
      </c>
      <c r="S359">
        <v>1</v>
      </c>
    </row>
    <row r="360" spans="1:19">
      <c r="A360" t="s">
        <v>682</v>
      </c>
      <c r="B360" s="2">
        <v>46140</v>
      </c>
      <c r="C360" t="s">
        <v>433</v>
      </c>
      <c r="D360" t="s">
        <v>92</v>
      </c>
      <c r="E360" t="s">
        <v>32</v>
      </c>
      <c r="F360">
        <v>28</v>
      </c>
      <c r="G360" t="s">
        <v>93</v>
      </c>
      <c r="H360" t="s">
        <v>94</v>
      </c>
      <c r="I360" t="s">
        <v>25</v>
      </c>
      <c r="J360" t="s">
        <v>56</v>
      </c>
      <c r="K360">
        <v>3</v>
      </c>
      <c r="L360">
        <v>899</v>
      </c>
      <c r="M360" s="3">
        <v>0.15</v>
      </c>
      <c r="N360">
        <v>2292.4499999999998</v>
      </c>
      <c r="O360">
        <v>1650</v>
      </c>
      <c r="P360">
        <v>642.45000000000005</v>
      </c>
      <c r="Q360" t="s">
        <v>66</v>
      </c>
      <c r="R360" t="s">
        <v>77</v>
      </c>
      <c r="S360">
        <v>3</v>
      </c>
    </row>
    <row r="361" spans="1:19">
      <c r="A361" t="s">
        <v>683</v>
      </c>
      <c r="B361" s="2">
        <v>46037</v>
      </c>
      <c r="C361" t="s">
        <v>637</v>
      </c>
      <c r="D361" t="s">
        <v>638</v>
      </c>
      <c r="E361" t="s">
        <v>22</v>
      </c>
      <c r="F361">
        <v>25</v>
      </c>
      <c r="G361" t="s">
        <v>141</v>
      </c>
      <c r="H361" t="s">
        <v>142</v>
      </c>
      <c r="I361" t="s">
        <v>75</v>
      </c>
      <c r="J361" t="s">
        <v>76</v>
      </c>
      <c r="K361">
        <v>4</v>
      </c>
      <c r="L361">
        <v>399</v>
      </c>
      <c r="M361" s="3">
        <v>0.05</v>
      </c>
      <c r="N361">
        <v>1516.2</v>
      </c>
      <c r="O361">
        <v>880</v>
      </c>
      <c r="P361">
        <v>636.20000000000005</v>
      </c>
      <c r="Q361" t="s">
        <v>66</v>
      </c>
      <c r="R361" t="s">
        <v>28</v>
      </c>
      <c r="S361">
        <v>4</v>
      </c>
    </row>
    <row r="362" spans="1:19">
      <c r="A362" t="s">
        <v>684</v>
      </c>
      <c r="B362" s="2">
        <v>45927</v>
      </c>
      <c r="C362" t="s">
        <v>166</v>
      </c>
      <c r="D362" t="s">
        <v>167</v>
      </c>
      <c r="E362" t="s">
        <v>22</v>
      </c>
      <c r="F362">
        <v>36</v>
      </c>
      <c r="G362" t="s">
        <v>146</v>
      </c>
      <c r="H362" t="s">
        <v>61</v>
      </c>
      <c r="I362" t="s">
        <v>43</v>
      </c>
      <c r="J362" t="s">
        <v>197</v>
      </c>
      <c r="K362">
        <v>4</v>
      </c>
      <c r="L362">
        <v>1799</v>
      </c>
      <c r="M362" s="3">
        <v>0.15</v>
      </c>
      <c r="N362">
        <v>6116.6</v>
      </c>
      <c r="O362">
        <v>4200</v>
      </c>
      <c r="P362">
        <v>1916.6</v>
      </c>
      <c r="Q362" t="s">
        <v>27</v>
      </c>
      <c r="R362" t="s">
        <v>137</v>
      </c>
      <c r="S362">
        <v>1</v>
      </c>
    </row>
    <row r="363" spans="1:19">
      <c r="A363" t="s">
        <v>685</v>
      </c>
      <c r="B363" s="2">
        <v>46010</v>
      </c>
      <c r="C363" t="s">
        <v>158</v>
      </c>
      <c r="D363" t="s">
        <v>159</v>
      </c>
      <c r="E363" t="s">
        <v>32</v>
      </c>
      <c r="F363">
        <v>19</v>
      </c>
      <c r="G363" t="s">
        <v>60</v>
      </c>
      <c r="H363" t="s">
        <v>61</v>
      </c>
      <c r="I363" t="s">
        <v>117</v>
      </c>
      <c r="J363" t="s">
        <v>238</v>
      </c>
      <c r="K363">
        <v>1</v>
      </c>
      <c r="L363">
        <v>2499</v>
      </c>
      <c r="M363" s="3">
        <v>0</v>
      </c>
      <c r="N363">
        <v>2499</v>
      </c>
      <c r="O363">
        <v>1500</v>
      </c>
      <c r="P363">
        <v>999</v>
      </c>
      <c r="Q363" t="s">
        <v>50</v>
      </c>
      <c r="R363" t="s">
        <v>28</v>
      </c>
      <c r="S363">
        <v>5</v>
      </c>
    </row>
    <row r="364" spans="1:19">
      <c r="A364" t="s">
        <v>686</v>
      </c>
      <c r="B364" s="2">
        <v>46193</v>
      </c>
      <c r="C364" t="s">
        <v>183</v>
      </c>
      <c r="D364" t="s">
        <v>184</v>
      </c>
      <c r="E364" t="s">
        <v>22</v>
      </c>
      <c r="F364">
        <v>43</v>
      </c>
      <c r="G364" t="s">
        <v>60</v>
      </c>
      <c r="H364" t="s">
        <v>61</v>
      </c>
      <c r="I364" t="s">
        <v>35</v>
      </c>
      <c r="J364" t="s">
        <v>126</v>
      </c>
      <c r="K364">
        <v>1</v>
      </c>
      <c r="L364">
        <v>1499</v>
      </c>
      <c r="M364" s="3">
        <v>0.15</v>
      </c>
      <c r="N364">
        <v>1274.1500000000001</v>
      </c>
      <c r="O364">
        <v>850</v>
      </c>
      <c r="P364">
        <v>424.15</v>
      </c>
      <c r="Q364" t="s">
        <v>66</v>
      </c>
      <c r="R364" t="s">
        <v>51</v>
      </c>
      <c r="S364">
        <v>4</v>
      </c>
    </row>
    <row r="365" spans="1:19">
      <c r="A365" t="s">
        <v>687</v>
      </c>
      <c r="B365" s="2">
        <v>45738</v>
      </c>
      <c r="C365" t="s">
        <v>283</v>
      </c>
      <c r="D365" t="s">
        <v>284</v>
      </c>
      <c r="E365" t="s">
        <v>32</v>
      </c>
      <c r="F365">
        <v>39</v>
      </c>
      <c r="G365" t="s">
        <v>55</v>
      </c>
      <c r="H365" t="s">
        <v>34</v>
      </c>
      <c r="I365" t="s">
        <v>43</v>
      </c>
      <c r="J365" t="s">
        <v>281</v>
      </c>
      <c r="K365">
        <v>4</v>
      </c>
      <c r="L365">
        <v>2999</v>
      </c>
      <c r="M365" s="3">
        <v>0.1</v>
      </c>
      <c r="N365">
        <v>10796.4</v>
      </c>
      <c r="O365">
        <v>7200</v>
      </c>
      <c r="P365">
        <v>3596.4</v>
      </c>
      <c r="Q365" t="s">
        <v>66</v>
      </c>
      <c r="R365" t="s">
        <v>77</v>
      </c>
      <c r="S365">
        <v>1</v>
      </c>
    </row>
    <row r="366" spans="1:19">
      <c r="A366" t="s">
        <v>688</v>
      </c>
      <c r="B366" s="2">
        <v>46117</v>
      </c>
      <c r="C366" t="s">
        <v>304</v>
      </c>
      <c r="D366" t="s">
        <v>305</v>
      </c>
      <c r="E366" t="s">
        <v>32</v>
      </c>
      <c r="F366">
        <v>32</v>
      </c>
      <c r="G366" t="s">
        <v>146</v>
      </c>
      <c r="H366" t="s">
        <v>61</v>
      </c>
      <c r="I366" t="s">
        <v>75</v>
      </c>
      <c r="J366" t="s">
        <v>86</v>
      </c>
      <c r="K366">
        <v>2</v>
      </c>
      <c r="L366">
        <v>499</v>
      </c>
      <c r="M366" s="3">
        <v>0</v>
      </c>
      <c r="N366">
        <v>998</v>
      </c>
      <c r="O366">
        <v>600</v>
      </c>
      <c r="P366">
        <v>398</v>
      </c>
      <c r="Q366" t="s">
        <v>27</v>
      </c>
      <c r="R366" t="s">
        <v>77</v>
      </c>
      <c r="S366">
        <v>2</v>
      </c>
    </row>
    <row r="367" spans="1:19">
      <c r="A367" t="s">
        <v>689</v>
      </c>
      <c r="B367" s="2">
        <v>46091</v>
      </c>
      <c r="C367" t="s">
        <v>585</v>
      </c>
      <c r="D367" t="s">
        <v>586</v>
      </c>
      <c r="E367" t="s">
        <v>32</v>
      </c>
      <c r="F367">
        <v>31</v>
      </c>
      <c r="G367" t="s">
        <v>48</v>
      </c>
      <c r="H367" t="s">
        <v>42</v>
      </c>
      <c r="I367" t="s">
        <v>43</v>
      </c>
      <c r="J367" t="s">
        <v>49</v>
      </c>
      <c r="K367">
        <v>2</v>
      </c>
      <c r="L367">
        <v>799</v>
      </c>
      <c r="M367" s="3">
        <v>0</v>
      </c>
      <c r="N367">
        <v>1598</v>
      </c>
      <c r="O367">
        <v>900</v>
      </c>
      <c r="P367">
        <v>698</v>
      </c>
      <c r="Q367" t="s">
        <v>69</v>
      </c>
      <c r="R367" t="s">
        <v>51</v>
      </c>
      <c r="S367">
        <v>4</v>
      </c>
    </row>
    <row r="368" spans="1:19">
      <c r="A368" t="s">
        <v>690</v>
      </c>
      <c r="B368" s="2">
        <v>45922</v>
      </c>
      <c r="C368" t="s">
        <v>216</v>
      </c>
      <c r="D368" t="s">
        <v>217</v>
      </c>
      <c r="E368" t="s">
        <v>22</v>
      </c>
      <c r="F368">
        <v>43</v>
      </c>
      <c r="G368" t="s">
        <v>115</v>
      </c>
      <c r="H368" t="s">
        <v>116</v>
      </c>
      <c r="I368" t="s">
        <v>75</v>
      </c>
      <c r="J368" t="s">
        <v>76</v>
      </c>
      <c r="K368">
        <v>2</v>
      </c>
      <c r="L368">
        <v>399</v>
      </c>
      <c r="M368" s="3">
        <v>0.2</v>
      </c>
      <c r="N368">
        <v>638.4</v>
      </c>
      <c r="O368">
        <v>440</v>
      </c>
      <c r="P368">
        <v>198.4</v>
      </c>
      <c r="Q368" t="s">
        <v>37</v>
      </c>
      <c r="R368" t="s">
        <v>77</v>
      </c>
      <c r="S368">
        <v>1</v>
      </c>
    </row>
    <row r="369" spans="1:19">
      <c r="A369" t="s">
        <v>691</v>
      </c>
      <c r="B369" s="2">
        <v>45991</v>
      </c>
      <c r="C369" t="s">
        <v>692</v>
      </c>
      <c r="D369" t="s">
        <v>343</v>
      </c>
      <c r="E369" t="s">
        <v>22</v>
      </c>
      <c r="F369">
        <v>50</v>
      </c>
      <c r="G369" t="s">
        <v>48</v>
      </c>
      <c r="H369" t="s">
        <v>42</v>
      </c>
      <c r="I369" t="s">
        <v>163</v>
      </c>
      <c r="J369" t="s">
        <v>290</v>
      </c>
      <c r="K369">
        <v>4</v>
      </c>
      <c r="L369">
        <v>1999</v>
      </c>
      <c r="M369" s="3">
        <v>0.2</v>
      </c>
      <c r="N369">
        <v>6396.8</v>
      </c>
      <c r="O369">
        <v>4800</v>
      </c>
      <c r="P369">
        <v>1596.8</v>
      </c>
      <c r="Q369" t="s">
        <v>37</v>
      </c>
      <c r="R369" t="s">
        <v>28</v>
      </c>
      <c r="S369">
        <v>1</v>
      </c>
    </row>
    <row r="370" spans="1:19">
      <c r="A370" t="s">
        <v>693</v>
      </c>
      <c r="B370" s="2">
        <v>45811</v>
      </c>
      <c r="C370" t="s">
        <v>329</v>
      </c>
      <c r="D370" t="s">
        <v>330</v>
      </c>
      <c r="E370" t="s">
        <v>22</v>
      </c>
      <c r="F370">
        <v>28</v>
      </c>
      <c r="G370" t="s">
        <v>81</v>
      </c>
      <c r="H370" t="s">
        <v>82</v>
      </c>
      <c r="I370" t="s">
        <v>163</v>
      </c>
      <c r="J370" t="s">
        <v>234</v>
      </c>
      <c r="K370">
        <v>1</v>
      </c>
      <c r="L370">
        <v>999</v>
      </c>
      <c r="M370" s="3">
        <v>0.15</v>
      </c>
      <c r="N370">
        <v>849.15</v>
      </c>
      <c r="O370">
        <v>600</v>
      </c>
      <c r="P370">
        <v>249.15</v>
      </c>
      <c r="Q370" t="s">
        <v>27</v>
      </c>
      <c r="R370" t="s">
        <v>28</v>
      </c>
      <c r="S370">
        <v>5</v>
      </c>
    </row>
    <row r="371" spans="1:19">
      <c r="A371" t="s">
        <v>694</v>
      </c>
      <c r="B371" s="2">
        <v>46206</v>
      </c>
      <c r="C371" t="s">
        <v>240</v>
      </c>
      <c r="D371" t="s">
        <v>241</v>
      </c>
      <c r="E371" t="s">
        <v>32</v>
      </c>
      <c r="F371">
        <v>51</v>
      </c>
      <c r="G371" t="s">
        <v>81</v>
      </c>
      <c r="H371" t="s">
        <v>82</v>
      </c>
      <c r="I371" t="s">
        <v>25</v>
      </c>
      <c r="J371" t="s">
        <v>56</v>
      </c>
      <c r="K371">
        <v>1</v>
      </c>
      <c r="L371">
        <v>899</v>
      </c>
      <c r="M371" s="3">
        <v>0.1</v>
      </c>
      <c r="N371">
        <v>809.1</v>
      </c>
      <c r="O371">
        <v>550</v>
      </c>
      <c r="P371">
        <v>259.10000000000002</v>
      </c>
      <c r="Q371" t="s">
        <v>37</v>
      </c>
      <c r="R371" t="s">
        <v>137</v>
      </c>
      <c r="S371">
        <v>3</v>
      </c>
    </row>
    <row r="372" spans="1:19">
      <c r="A372" t="s">
        <v>695</v>
      </c>
      <c r="B372" s="2">
        <v>46142</v>
      </c>
      <c r="C372" t="s">
        <v>202</v>
      </c>
      <c r="D372" t="s">
        <v>89</v>
      </c>
      <c r="E372" t="s">
        <v>22</v>
      </c>
      <c r="F372">
        <v>50</v>
      </c>
      <c r="G372" t="s">
        <v>93</v>
      </c>
      <c r="H372" t="s">
        <v>94</v>
      </c>
      <c r="I372" t="s">
        <v>75</v>
      </c>
      <c r="J372" t="s">
        <v>76</v>
      </c>
      <c r="K372">
        <v>4</v>
      </c>
      <c r="L372">
        <v>399</v>
      </c>
      <c r="M372" s="3">
        <v>0.2</v>
      </c>
      <c r="N372">
        <v>1276.8</v>
      </c>
      <c r="O372">
        <v>880</v>
      </c>
      <c r="P372">
        <v>396.8</v>
      </c>
      <c r="Q372" t="s">
        <v>69</v>
      </c>
      <c r="R372" t="s">
        <v>28</v>
      </c>
      <c r="S372">
        <v>4</v>
      </c>
    </row>
    <row r="373" spans="1:19">
      <c r="A373" t="s">
        <v>696</v>
      </c>
      <c r="B373" s="2">
        <v>46063</v>
      </c>
      <c r="C373" t="s">
        <v>598</v>
      </c>
      <c r="D373" t="s">
        <v>225</v>
      </c>
      <c r="E373" t="s">
        <v>22</v>
      </c>
      <c r="F373">
        <v>37</v>
      </c>
      <c r="G373" t="s">
        <v>48</v>
      </c>
      <c r="H373" t="s">
        <v>42</v>
      </c>
      <c r="I373" t="s">
        <v>75</v>
      </c>
      <c r="J373" t="s">
        <v>106</v>
      </c>
      <c r="K373">
        <v>4</v>
      </c>
      <c r="L373">
        <v>899</v>
      </c>
      <c r="M373" s="3">
        <v>0</v>
      </c>
      <c r="N373">
        <v>3596</v>
      </c>
      <c r="O373">
        <v>2400</v>
      </c>
      <c r="P373">
        <v>1196</v>
      </c>
      <c r="Q373" t="s">
        <v>37</v>
      </c>
      <c r="R373" t="s">
        <v>28</v>
      </c>
      <c r="S373">
        <v>1</v>
      </c>
    </row>
    <row r="374" spans="1:19">
      <c r="A374" t="s">
        <v>697</v>
      </c>
      <c r="B374" s="2">
        <v>46003</v>
      </c>
      <c r="C374" t="s">
        <v>433</v>
      </c>
      <c r="D374" t="s">
        <v>92</v>
      </c>
      <c r="E374" t="s">
        <v>32</v>
      </c>
      <c r="F374">
        <v>28</v>
      </c>
      <c r="G374" t="s">
        <v>93</v>
      </c>
      <c r="H374" t="s">
        <v>94</v>
      </c>
      <c r="I374" t="s">
        <v>43</v>
      </c>
      <c r="J374" t="s">
        <v>197</v>
      </c>
      <c r="K374">
        <v>3</v>
      </c>
      <c r="L374">
        <v>1799</v>
      </c>
      <c r="M374" s="3">
        <v>0</v>
      </c>
      <c r="N374">
        <v>5397</v>
      </c>
      <c r="O374">
        <v>3150</v>
      </c>
      <c r="P374">
        <v>2247</v>
      </c>
      <c r="Q374" t="s">
        <v>37</v>
      </c>
      <c r="R374" t="s">
        <v>28</v>
      </c>
      <c r="S374">
        <v>4</v>
      </c>
    </row>
    <row r="375" spans="1:19">
      <c r="A375" t="s">
        <v>698</v>
      </c>
      <c r="B375" s="2">
        <v>46111</v>
      </c>
      <c r="C375" t="s">
        <v>240</v>
      </c>
      <c r="D375" t="s">
        <v>241</v>
      </c>
      <c r="E375" t="s">
        <v>32</v>
      </c>
      <c r="F375">
        <v>51</v>
      </c>
      <c r="G375" t="s">
        <v>81</v>
      </c>
      <c r="H375" t="s">
        <v>82</v>
      </c>
      <c r="I375" t="s">
        <v>43</v>
      </c>
      <c r="J375" t="s">
        <v>281</v>
      </c>
      <c r="K375">
        <v>2</v>
      </c>
      <c r="L375">
        <v>2999</v>
      </c>
      <c r="M375" s="3">
        <v>0.1</v>
      </c>
      <c r="N375">
        <v>5398.2</v>
      </c>
      <c r="O375">
        <v>3600</v>
      </c>
      <c r="P375">
        <v>1798.2</v>
      </c>
      <c r="Q375" t="s">
        <v>37</v>
      </c>
      <c r="R375" t="s">
        <v>28</v>
      </c>
      <c r="S375">
        <v>4</v>
      </c>
    </row>
    <row r="376" spans="1:19">
      <c r="A376" t="s">
        <v>699</v>
      </c>
      <c r="B376" s="2">
        <v>46074</v>
      </c>
      <c r="C376" t="s">
        <v>692</v>
      </c>
      <c r="D376" t="s">
        <v>343</v>
      </c>
      <c r="E376" t="s">
        <v>22</v>
      </c>
      <c r="F376">
        <v>50</v>
      </c>
      <c r="G376" t="s">
        <v>48</v>
      </c>
      <c r="H376" t="s">
        <v>42</v>
      </c>
      <c r="I376" t="s">
        <v>43</v>
      </c>
      <c r="J376" t="s">
        <v>49</v>
      </c>
      <c r="K376">
        <v>4</v>
      </c>
      <c r="L376">
        <v>799</v>
      </c>
      <c r="M376" s="3">
        <v>0.05</v>
      </c>
      <c r="N376">
        <v>3036.2</v>
      </c>
      <c r="O376">
        <v>1800</v>
      </c>
      <c r="P376">
        <v>1236.2</v>
      </c>
      <c r="Q376" t="s">
        <v>66</v>
      </c>
      <c r="R376" t="s">
        <v>28</v>
      </c>
      <c r="S376">
        <v>3</v>
      </c>
    </row>
    <row r="377" spans="1:19">
      <c r="A377" t="s">
        <v>700</v>
      </c>
      <c r="B377" s="2">
        <v>45976</v>
      </c>
      <c r="C377" t="s">
        <v>384</v>
      </c>
      <c r="D377" t="s">
        <v>385</v>
      </c>
      <c r="E377" t="s">
        <v>32</v>
      </c>
      <c r="F377">
        <v>22</v>
      </c>
      <c r="G377" t="s">
        <v>48</v>
      </c>
      <c r="H377" t="s">
        <v>42</v>
      </c>
      <c r="I377" t="s">
        <v>35</v>
      </c>
      <c r="J377" t="s">
        <v>108</v>
      </c>
      <c r="K377">
        <v>2</v>
      </c>
      <c r="L377">
        <v>699</v>
      </c>
      <c r="M377" s="3">
        <v>0</v>
      </c>
      <c r="N377">
        <v>1398</v>
      </c>
      <c r="O377">
        <v>760</v>
      </c>
      <c r="P377">
        <v>638</v>
      </c>
      <c r="Q377" t="s">
        <v>50</v>
      </c>
      <c r="R377" t="s">
        <v>28</v>
      </c>
      <c r="S377">
        <v>5</v>
      </c>
    </row>
    <row r="378" spans="1:19">
      <c r="A378" t="s">
        <v>701</v>
      </c>
      <c r="B378" s="2">
        <v>45863</v>
      </c>
      <c r="C378" t="s">
        <v>292</v>
      </c>
      <c r="D378" t="s">
        <v>293</v>
      </c>
      <c r="E378" t="s">
        <v>32</v>
      </c>
      <c r="F378">
        <v>29</v>
      </c>
      <c r="G378" t="s">
        <v>180</v>
      </c>
      <c r="H378" t="s">
        <v>181</v>
      </c>
      <c r="I378" t="s">
        <v>25</v>
      </c>
      <c r="J378" t="s">
        <v>156</v>
      </c>
      <c r="K378">
        <v>2</v>
      </c>
      <c r="L378">
        <v>1999</v>
      </c>
      <c r="M378" s="3">
        <v>0.05</v>
      </c>
      <c r="N378">
        <v>3798.1</v>
      </c>
      <c r="O378">
        <v>2600</v>
      </c>
      <c r="P378">
        <v>1198.0999999999999</v>
      </c>
      <c r="Q378" t="s">
        <v>69</v>
      </c>
      <c r="R378" t="s">
        <v>28</v>
      </c>
      <c r="S378">
        <v>4</v>
      </c>
    </row>
    <row r="379" spans="1:19">
      <c r="A379" t="s">
        <v>702</v>
      </c>
      <c r="B379" s="2">
        <v>46035</v>
      </c>
      <c r="C379" t="s">
        <v>506</v>
      </c>
      <c r="D379" t="s">
        <v>414</v>
      </c>
      <c r="E379" t="s">
        <v>22</v>
      </c>
      <c r="F379">
        <v>42</v>
      </c>
      <c r="G379" t="s">
        <v>180</v>
      </c>
      <c r="H379" t="s">
        <v>181</v>
      </c>
      <c r="I379" t="s">
        <v>163</v>
      </c>
      <c r="J379" t="s">
        <v>214</v>
      </c>
      <c r="K379">
        <v>2</v>
      </c>
      <c r="L379">
        <v>1499</v>
      </c>
      <c r="M379" s="3">
        <v>0.1</v>
      </c>
      <c r="N379">
        <v>2698.2</v>
      </c>
      <c r="O379">
        <v>1800</v>
      </c>
      <c r="P379">
        <v>898.2</v>
      </c>
      <c r="Q379" t="s">
        <v>66</v>
      </c>
      <c r="R379" t="s">
        <v>28</v>
      </c>
      <c r="S379">
        <v>1</v>
      </c>
    </row>
    <row r="380" spans="1:19">
      <c r="A380" t="s">
        <v>703</v>
      </c>
      <c r="B380" s="2">
        <v>46266</v>
      </c>
      <c r="C380" t="s">
        <v>186</v>
      </c>
      <c r="D380" t="s">
        <v>187</v>
      </c>
      <c r="E380" t="s">
        <v>22</v>
      </c>
      <c r="F380">
        <v>42</v>
      </c>
      <c r="G380" t="s">
        <v>60</v>
      </c>
      <c r="H380" t="s">
        <v>61</v>
      </c>
      <c r="I380" t="s">
        <v>43</v>
      </c>
      <c r="J380" t="s">
        <v>281</v>
      </c>
      <c r="K380">
        <v>3</v>
      </c>
      <c r="L380">
        <v>2999</v>
      </c>
      <c r="M380" s="3">
        <v>0.15</v>
      </c>
      <c r="N380">
        <v>7647.45</v>
      </c>
      <c r="O380">
        <v>5400</v>
      </c>
      <c r="P380">
        <v>2247.4499999999998</v>
      </c>
      <c r="Q380" t="s">
        <v>66</v>
      </c>
      <c r="R380" t="s">
        <v>28</v>
      </c>
      <c r="S380">
        <v>4</v>
      </c>
    </row>
    <row r="381" spans="1:19">
      <c r="A381" t="s">
        <v>704</v>
      </c>
      <c r="B381" s="2">
        <v>45922</v>
      </c>
      <c r="C381" t="s">
        <v>705</v>
      </c>
      <c r="D381" t="s">
        <v>98</v>
      </c>
      <c r="E381" t="s">
        <v>32</v>
      </c>
      <c r="F381">
        <v>47</v>
      </c>
      <c r="G381" t="s">
        <v>141</v>
      </c>
      <c r="H381" t="s">
        <v>142</v>
      </c>
      <c r="I381" t="s">
        <v>163</v>
      </c>
      <c r="J381" t="s">
        <v>214</v>
      </c>
      <c r="K381">
        <v>3</v>
      </c>
      <c r="L381">
        <v>1499</v>
      </c>
      <c r="M381" s="3">
        <v>0.05</v>
      </c>
      <c r="N381">
        <v>4272.1499999999996</v>
      </c>
      <c r="O381">
        <v>2700</v>
      </c>
      <c r="P381">
        <v>1572.15</v>
      </c>
      <c r="Q381" t="s">
        <v>69</v>
      </c>
      <c r="R381" t="s">
        <v>28</v>
      </c>
      <c r="S381">
        <v>4</v>
      </c>
    </row>
    <row r="382" spans="1:19">
      <c r="A382" t="s">
        <v>706</v>
      </c>
      <c r="B382" s="2">
        <v>45888</v>
      </c>
      <c r="C382" t="s">
        <v>506</v>
      </c>
      <c r="D382" t="s">
        <v>414</v>
      </c>
      <c r="E382" t="s">
        <v>22</v>
      </c>
      <c r="F382">
        <v>42</v>
      </c>
      <c r="G382" t="s">
        <v>180</v>
      </c>
      <c r="H382" t="s">
        <v>181</v>
      </c>
      <c r="I382" t="s">
        <v>43</v>
      </c>
      <c r="J382" t="s">
        <v>95</v>
      </c>
      <c r="K382">
        <v>2</v>
      </c>
      <c r="L382">
        <v>2499</v>
      </c>
      <c r="M382" s="3">
        <v>0.05</v>
      </c>
      <c r="N382">
        <v>4748.1000000000004</v>
      </c>
      <c r="O382">
        <v>3000</v>
      </c>
      <c r="P382">
        <v>1748.1</v>
      </c>
      <c r="Q382" t="s">
        <v>27</v>
      </c>
      <c r="R382" t="s">
        <v>28</v>
      </c>
      <c r="S382">
        <v>4</v>
      </c>
    </row>
    <row r="383" spans="1:19">
      <c r="A383" t="s">
        <v>707</v>
      </c>
      <c r="B383" s="2">
        <v>45793</v>
      </c>
      <c r="C383" t="s">
        <v>365</v>
      </c>
      <c r="D383" t="s">
        <v>366</v>
      </c>
      <c r="E383" t="s">
        <v>22</v>
      </c>
      <c r="F383">
        <v>54</v>
      </c>
      <c r="G383" t="s">
        <v>93</v>
      </c>
      <c r="H383" t="s">
        <v>94</v>
      </c>
      <c r="I383" t="s">
        <v>25</v>
      </c>
      <c r="J383" t="s">
        <v>156</v>
      </c>
      <c r="K383">
        <v>1</v>
      </c>
      <c r="L383">
        <v>1999</v>
      </c>
      <c r="M383" s="3">
        <v>0.15</v>
      </c>
      <c r="N383">
        <v>1699.15</v>
      </c>
      <c r="O383">
        <v>1300</v>
      </c>
      <c r="P383">
        <v>399.15</v>
      </c>
      <c r="Q383" t="s">
        <v>27</v>
      </c>
      <c r="R383" t="s">
        <v>28</v>
      </c>
      <c r="S383">
        <v>1</v>
      </c>
    </row>
    <row r="384" spans="1:19">
      <c r="A384" t="s">
        <v>708</v>
      </c>
      <c r="B384" s="2">
        <v>46091</v>
      </c>
      <c r="C384" t="s">
        <v>479</v>
      </c>
      <c r="D384" t="s">
        <v>480</v>
      </c>
      <c r="E384" t="s">
        <v>22</v>
      </c>
      <c r="F384">
        <v>29</v>
      </c>
      <c r="G384" t="s">
        <v>146</v>
      </c>
      <c r="H384" t="s">
        <v>61</v>
      </c>
      <c r="I384" t="s">
        <v>43</v>
      </c>
      <c r="J384" t="s">
        <v>197</v>
      </c>
      <c r="K384">
        <v>3</v>
      </c>
      <c r="L384">
        <v>1799</v>
      </c>
      <c r="M384" s="3">
        <v>0.1</v>
      </c>
      <c r="N384">
        <v>4857.3</v>
      </c>
      <c r="O384">
        <v>3150</v>
      </c>
      <c r="P384">
        <v>1707.3</v>
      </c>
      <c r="Q384" t="s">
        <v>66</v>
      </c>
      <c r="R384" t="s">
        <v>137</v>
      </c>
      <c r="S384">
        <v>4</v>
      </c>
    </row>
    <row r="385" spans="1:19">
      <c r="A385" t="s">
        <v>709</v>
      </c>
      <c r="B385" s="2">
        <v>46191</v>
      </c>
      <c r="C385" t="s">
        <v>209</v>
      </c>
      <c r="D385" t="s">
        <v>210</v>
      </c>
      <c r="E385" t="s">
        <v>32</v>
      </c>
      <c r="F385">
        <v>26</v>
      </c>
      <c r="G385" t="s">
        <v>23</v>
      </c>
      <c r="H385" t="s">
        <v>24</v>
      </c>
      <c r="I385" t="s">
        <v>43</v>
      </c>
      <c r="J385" t="s">
        <v>49</v>
      </c>
      <c r="K385">
        <v>4</v>
      </c>
      <c r="L385">
        <v>799</v>
      </c>
      <c r="M385" s="3">
        <v>0.1</v>
      </c>
      <c r="N385">
        <v>2876.4</v>
      </c>
      <c r="O385">
        <v>1800</v>
      </c>
      <c r="P385">
        <v>1076.4000000000001</v>
      </c>
      <c r="Q385" t="s">
        <v>50</v>
      </c>
      <c r="R385" t="s">
        <v>28</v>
      </c>
      <c r="S385">
        <v>1</v>
      </c>
    </row>
    <row r="386" spans="1:19">
      <c r="A386" t="s">
        <v>710</v>
      </c>
      <c r="B386" s="2">
        <v>46266</v>
      </c>
      <c r="C386" t="s">
        <v>300</v>
      </c>
      <c r="D386" t="s">
        <v>301</v>
      </c>
      <c r="E386" t="s">
        <v>22</v>
      </c>
      <c r="F386">
        <v>24</v>
      </c>
      <c r="G386" t="s">
        <v>48</v>
      </c>
      <c r="H386" t="s">
        <v>42</v>
      </c>
      <c r="I386" t="s">
        <v>35</v>
      </c>
      <c r="J386" t="s">
        <v>108</v>
      </c>
      <c r="K386">
        <v>3</v>
      </c>
      <c r="L386">
        <v>699</v>
      </c>
      <c r="M386" s="3">
        <v>0.2</v>
      </c>
      <c r="N386">
        <v>1677.6</v>
      </c>
      <c r="O386">
        <v>1140</v>
      </c>
      <c r="P386">
        <v>537.6</v>
      </c>
      <c r="Q386" t="s">
        <v>50</v>
      </c>
      <c r="R386" t="s">
        <v>28</v>
      </c>
      <c r="S386">
        <v>1</v>
      </c>
    </row>
    <row r="387" spans="1:19">
      <c r="A387" t="s">
        <v>711</v>
      </c>
      <c r="B387" s="2">
        <v>45990</v>
      </c>
      <c r="C387" t="s">
        <v>148</v>
      </c>
      <c r="D387" t="s">
        <v>47</v>
      </c>
      <c r="E387" t="s">
        <v>22</v>
      </c>
      <c r="F387">
        <v>23</v>
      </c>
      <c r="G387" t="s">
        <v>93</v>
      </c>
      <c r="H387" t="s">
        <v>94</v>
      </c>
      <c r="I387" t="s">
        <v>25</v>
      </c>
      <c r="J387" t="s">
        <v>26</v>
      </c>
      <c r="K387">
        <v>3</v>
      </c>
      <c r="L387">
        <v>2499</v>
      </c>
      <c r="M387" s="3">
        <v>0.1</v>
      </c>
      <c r="N387">
        <v>6747.3</v>
      </c>
      <c r="O387">
        <v>4800</v>
      </c>
      <c r="P387">
        <v>1947.3</v>
      </c>
      <c r="Q387" t="s">
        <v>37</v>
      </c>
      <c r="R387" t="s">
        <v>28</v>
      </c>
      <c r="S387">
        <v>3</v>
      </c>
    </row>
    <row r="388" spans="1:19">
      <c r="A388" t="s">
        <v>712</v>
      </c>
      <c r="B388" s="2">
        <v>46071</v>
      </c>
      <c r="C388" t="s">
        <v>603</v>
      </c>
      <c r="D388" t="s">
        <v>604</v>
      </c>
      <c r="E388" t="s">
        <v>32</v>
      </c>
      <c r="F388">
        <v>33</v>
      </c>
      <c r="G388" t="s">
        <v>41</v>
      </c>
      <c r="H388" t="s">
        <v>42</v>
      </c>
      <c r="I388" t="s">
        <v>25</v>
      </c>
      <c r="J388" t="s">
        <v>62</v>
      </c>
      <c r="K388">
        <v>2</v>
      </c>
      <c r="L388">
        <v>1299</v>
      </c>
      <c r="M388" s="3">
        <v>0</v>
      </c>
      <c r="N388">
        <v>2598</v>
      </c>
      <c r="O388">
        <v>1600</v>
      </c>
      <c r="P388">
        <v>998</v>
      </c>
      <c r="Q388" t="s">
        <v>37</v>
      </c>
      <c r="R388" t="s">
        <v>28</v>
      </c>
      <c r="S388">
        <v>1</v>
      </c>
    </row>
    <row r="389" spans="1:19">
      <c r="A389" t="s">
        <v>713</v>
      </c>
      <c r="B389" s="2">
        <v>46072</v>
      </c>
      <c r="C389" t="s">
        <v>207</v>
      </c>
      <c r="D389" t="s">
        <v>72</v>
      </c>
      <c r="E389" t="s">
        <v>22</v>
      </c>
      <c r="F389">
        <v>48</v>
      </c>
      <c r="G389" t="s">
        <v>180</v>
      </c>
      <c r="H389" t="s">
        <v>181</v>
      </c>
      <c r="I389" t="s">
        <v>43</v>
      </c>
      <c r="J389" t="s">
        <v>44</v>
      </c>
      <c r="K389">
        <v>3</v>
      </c>
      <c r="L389">
        <v>1599</v>
      </c>
      <c r="M389" s="3">
        <v>0.15</v>
      </c>
      <c r="N389">
        <v>4077.45</v>
      </c>
      <c r="O389">
        <v>2850</v>
      </c>
      <c r="P389">
        <v>1227.45</v>
      </c>
      <c r="Q389" t="s">
        <v>66</v>
      </c>
      <c r="R389" t="s">
        <v>28</v>
      </c>
      <c r="S389">
        <v>5</v>
      </c>
    </row>
    <row r="390" spans="1:19">
      <c r="A390" t="s">
        <v>714</v>
      </c>
      <c r="B390" s="2">
        <v>46205</v>
      </c>
      <c r="C390" t="s">
        <v>283</v>
      </c>
      <c r="D390" t="s">
        <v>284</v>
      </c>
      <c r="E390" t="s">
        <v>32</v>
      </c>
      <c r="F390">
        <v>39</v>
      </c>
      <c r="G390" t="s">
        <v>55</v>
      </c>
      <c r="H390" t="s">
        <v>34</v>
      </c>
      <c r="I390" t="s">
        <v>43</v>
      </c>
      <c r="J390" t="s">
        <v>49</v>
      </c>
      <c r="K390">
        <v>3</v>
      </c>
      <c r="L390">
        <v>799</v>
      </c>
      <c r="M390" s="3">
        <v>0.05</v>
      </c>
      <c r="N390">
        <v>2277.15</v>
      </c>
      <c r="O390">
        <v>1350</v>
      </c>
      <c r="P390">
        <v>927.15</v>
      </c>
      <c r="Q390" t="s">
        <v>66</v>
      </c>
      <c r="R390" t="s">
        <v>77</v>
      </c>
      <c r="S390">
        <v>3</v>
      </c>
    </row>
    <row r="391" spans="1:19">
      <c r="A391" t="s">
        <v>715</v>
      </c>
      <c r="B391" s="2">
        <v>45843</v>
      </c>
      <c r="C391" t="s">
        <v>326</v>
      </c>
      <c r="D391" t="s">
        <v>327</v>
      </c>
      <c r="E391" t="s">
        <v>22</v>
      </c>
      <c r="F391">
        <v>33</v>
      </c>
      <c r="G391" t="s">
        <v>141</v>
      </c>
      <c r="H391" t="s">
        <v>142</v>
      </c>
      <c r="I391" t="s">
        <v>43</v>
      </c>
      <c r="J391" t="s">
        <v>44</v>
      </c>
      <c r="K391">
        <v>2</v>
      </c>
      <c r="L391">
        <v>1599</v>
      </c>
      <c r="M391" s="3">
        <v>0.2</v>
      </c>
      <c r="N391">
        <v>2558.4</v>
      </c>
      <c r="O391">
        <v>1900</v>
      </c>
      <c r="P391">
        <v>658.4</v>
      </c>
      <c r="Q391" t="s">
        <v>37</v>
      </c>
      <c r="R391" t="s">
        <v>28</v>
      </c>
      <c r="S391">
        <v>2</v>
      </c>
    </row>
    <row r="392" spans="1:19">
      <c r="A392" t="s">
        <v>716</v>
      </c>
      <c r="B392" s="2">
        <v>45749</v>
      </c>
      <c r="C392" t="s">
        <v>641</v>
      </c>
      <c r="D392" t="s">
        <v>72</v>
      </c>
      <c r="E392" t="s">
        <v>32</v>
      </c>
      <c r="F392">
        <v>51</v>
      </c>
      <c r="G392" t="s">
        <v>115</v>
      </c>
      <c r="H392" t="s">
        <v>116</v>
      </c>
      <c r="I392" t="s">
        <v>117</v>
      </c>
      <c r="J392" t="s">
        <v>152</v>
      </c>
      <c r="K392">
        <v>2</v>
      </c>
      <c r="L392">
        <v>899</v>
      </c>
      <c r="M392" s="3">
        <v>0.1</v>
      </c>
      <c r="N392">
        <v>1618.2</v>
      </c>
      <c r="O392">
        <v>1000</v>
      </c>
      <c r="P392">
        <v>618.20000000000005</v>
      </c>
      <c r="Q392" t="s">
        <v>27</v>
      </c>
      <c r="R392" t="s">
        <v>28</v>
      </c>
      <c r="S392">
        <v>3</v>
      </c>
    </row>
    <row r="393" spans="1:19">
      <c r="A393" t="s">
        <v>717</v>
      </c>
      <c r="B393" s="2">
        <v>46257</v>
      </c>
      <c r="C393" t="s">
        <v>475</v>
      </c>
      <c r="D393" t="s">
        <v>476</v>
      </c>
      <c r="E393" t="s">
        <v>32</v>
      </c>
      <c r="F393">
        <v>51</v>
      </c>
      <c r="G393" t="s">
        <v>141</v>
      </c>
      <c r="H393" t="s">
        <v>142</v>
      </c>
      <c r="I393" t="s">
        <v>163</v>
      </c>
      <c r="J393" t="s">
        <v>164</v>
      </c>
      <c r="K393">
        <v>3</v>
      </c>
      <c r="L393">
        <v>3499</v>
      </c>
      <c r="M393" s="3">
        <v>0.1</v>
      </c>
      <c r="N393">
        <v>9447.2999999999993</v>
      </c>
      <c r="O393">
        <v>6600</v>
      </c>
      <c r="P393">
        <v>2847.3</v>
      </c>
      <c r="Q393" t="s">
        <v>37</v>
      </c>
      <c r="R393" t="s">
        <v>28</v>
      </c>
      <c r="S393">
        <v>1</v>
      </c>
    </row>
    <row r="394" spans="1:19">
      <c r="A394" t="s">
        <v>718</v>
      </c>
      <c r="B394" s="2">
        <v>45857</v>
      </c>
      <c r="C394" t="s">
        <v>224</v>
      </c>
      <c r="D394" t="s">
        <v>225</v>
      </c>
      <c r="E394" t="s">
        <v>32</v>
      </c>
      <c r="F394">
        <v>19</v>
      </c>
      <c r="G394" t="s">
        <v>33</v>
      </c>
      <c r="H394" t="s">
        <v>34</v>
      </c>
      <c r="I394" t="s">
        <v>25</v>
      </c>
      <c r="J394" t="s">
        <v>68</v>
      </c>
      <c r="K394">
        <v>1</v>
      </c>
      <c r="L394">
        <v>2999</v>
      </c>
      <c r="M394" s="3">
        <v>0.15</v>
      </c>
      <c r="N394">
        <v>2549.15</v>
      </c>
      <c r="O394">
        <v>1900</v>
      </c>
      <c r="P394">
        <v>649.15</v>
      </c>
      <c r="Q394" t="s">
        <v>50</v>
      </c>
      <c r="R394" t="s">
        <v>28</v>
      </c>
      <c r="S394">
        <v>4</v>
      </c>
    </row>
    <row r="395" spans="1:19">
      <c r="A395" t="s">
        <v>719</v>
      </c>
      <c r="B395" s="2">
        <v>45812</v>
      </c>
      <c r="C395" t="s">
        <v>720</v>
      </c>
      <c r="D395" t="s">
        <v>200</v>
      </c>
      <c r="E395" t="s">
        <v>22</v>
      </c>
      <c r="F395">
        <v>22</v>
      </c>
      <c r="G395" t="s">
        <v>33</v>
      </c>
      <c r="H395" t="s">
        <v>34</v>
      </c>
      <c r="I395" t="s">
        <v>43</v>
      </c>
      <c r="J395" t="s">
        <v>44</v>
      </c>
      <c r="K395">
        <v>4</v>
      </c>
      <c r="L395">
        <v>1599</v>
      </c>
      <c r="M395" s="3">
        <v>0</v>
      </c>
      <c r="N395">
        <v>6396</v>
      </c>
      <c r="O395">
        <v>3800</v>
      </c>
      <c r="P395">
        <v>2596</v>
      </c>
      <c r="Q395" t="s">
        <v>27</v>
      </c>
      <c r="R395" t="s">
        <v>51</v>
      </c>
      <c r="S395">
        <v>3</v>
      </c>
    </row>
    <row r="396" spans="1:19">
      <c r="A396" t="s">
        <v>721</v>
      </c>
      <c r="B396" s="2">
        <v>45981</v>
      </c>
      <c r="C396" t="s">
        <v>568</v>
      </c>
      <c r="D396" t="s">
        <v>569</v>
      </c>
      <c r="E396" t="s">
        <v>22</v>
      </c>
      <c r="F396">
        <v>18</v>
      </c>
      <c r="G396" t="s">
        <v>48</v>
      </c>
      <c r="H396" t="s">
        <v>42</v>
      </c>
      <c r="I396" t="s">
        <v>75</v>
      </c>
      <c r="J396" t="s">
        <v>86</v>
      </c>
      <c r="K396">
        <v>4</v>
      </c>
      <c r="L396">
        <v>499</v>
      </c>
      <c r="M396" s="3">
        <v>0.05</v>
      </c>
      <c r="N396">
        <v>1896.2</v>
      </c>
      <c r="O396">
        <v>1200</v>
      </c>
      <c r="P396">
        <v>696.2</v>
      </c>
      <c r="Q396" t="s">
        <v>27</v>
      </c>
      <c r="R396" t="s">
        <v>28</v>
      </c>
      <c r="S396">
        <v>4</v>
      </c>
    </row>
    <row r="397" spans="1:19">
      <c r="A397" t="s">
        <v>722</v>
      </c>
      <c r="B397" s="2">
        <v>45717</v>
      </c>
      <c r="C397" t="s">
        <v>723</v>
      </c>
      <c r="D397" t="s">
        <v>724</v>
      </c>
      <c r="E397" t="s">
        <v>32</v>
      </c>
      <c r="F397">
        <v>52</v>
      </c>
      <c r="G397" t="s">
        <v>55</v>
      </c>
      <c r="H397" t="s">
        <v>34</v>
      </c>
      <c r="I397" t="s">
        <v>75</v>
      </c>
      <c r="J397" t="s">
        <v>76</v>
      </c>
      <c r="K397">
        <v>2</v>
      </c>
      <c r="L397">
        <v>399</v>
      </c>
      <c r="M397" s="3">
        <v>0.1</v>
      </c>
      <c r="N397">
        <v>718.2</v>
      </c>
      <c r="O397">
        <v>440</v>
      </c>
      <c r="P397">
        <v>278.2</v>
      </c>
      <c r="Q397" t="s">
        <v>69</v>
      </c>
      <c r="R397" t="s">
        <v>28</v>
      </c>
      <c r="S397">
        <v>2</v>
      </c>
    </row>
    <row r="398" spans="1:19">
      <c r="A398" t="s">
        <v>725</v>
      </c>
      <c r="B398" s="2">
        <v>45748</v>
      </c>
      <c r="C398" t="s">
        <v>407</v>
      </c>
      <c r="D398" t="s">
        <v>408</v>
      </c>
      <c r="E398" t="s">
        <v>32</v>
      </c>
      <c r="F398">
        <v>44</v>
      </c>
      <c r="G398" t="s">
        <v>48</v>
      </c>
      <c r="H398" t="s">
        <v>42</v>
      </c>
      <c r="I398" t="s">
        <v>75</v>
      </c>
      <c r="J398" t="s">
        <v>86</v>
      </c>
      <c r="K398">
        <v>2</v>
      </c>
      <c r="L398">
        <v>499</v>
      </c>
      <c r="M398" s="3">
        <v>0.15</v>
      </c>
      <c r="N398">
        <v>848.3</v>
      </c>
      <c r="O398">
        <v>600</v>
      </c>
      <c r="P398">
        <v>248.3</v>
      </c>
      <c r="Q398" t="s">
        <v>27</v>
      </c>
      <c r="R398" t="s">
        <v>28</v>
      </c>
      <c r="S398">
        <v>4</v>
      </c>
    </row>
    <row r="399" spans="1:19">
      <c r="A399" t="s">
        <v>726</v>
      </c>
      <c r="B399" s="2">
        <v>45662</v>
      </c>
      <c r="C399" t="s">
        <v>128</v>
      </c>
      <c r="D399" t="s">
        <v>129</v>
      </c>
      <c r="E399" t="s">
        <v>22</v>
      </c>
      <c r="F399">
        <v>42</v>
      </c>
      <c r="G399" t="s">
        <v>105</v>
      </c>
      <c r="H399" t="s">
        <v>105</v>
      </c>
      <c r="I399" t="s">
        <v>163</v>
      </c>
      <c r="J399" t="s">
        <v>234</v>
      </c>
      <c r="K399">
        <v>4</v>
      </c>
      <c r="L399">
        <v>999</v>
      </c>
      <c r="M399" s="3">
        <v>0.15</v>
      </c>
      <c r="N399">
        <v>3396.6</v>
      </c>
      <c r="O399">
        <v>2400</v>
      </c>
      <c r="P399">
        <v>996.6</v>
      </c>
      <c r="Q399" t="s">
        <v>69</v>
      </c>
      <c r="R399" t="s">
        <v>28</v>
      </c>
      <c r="S399">
        <v>3</v>
      </c>
    </row>
    <row r="400" spans="1:19">
      <c r="A400" t="s">
        <v>727</v>
      </c>
      <c r="B400" s="2">
        <v>45662</v>
      </c>
      <c r="C400" t="s">
        <v>172</v>
      </c>
      <c r="D400" t="s">
        <v>173</v>
      </c>
      <c r="E400" t="s">
        <v>22</v>
      </c>
      <c r="F400">
        <v>50</v>
      </c>
      <c r="G400" t="s">
        <v>48</v>
      </c>
      <c r="H400" t="s">
        <v>42</v>
      </c>
      <c r="I400" t="s">
        <v>163</v>
      </c>
      <c r="J400" t="s">
        <v>164</v>
      </c>
      <c r="K400">
        <v>2</v>
      </c>
      <c r="L400">
        <v>3499</v>
      </c>
      <c r="M400" s="3">
        <v>0</v>
      </c>
      <c r="N400">
        <v>6998</v>
      </c>
      <c r="O400">
        <v>4400</v>
      </c>
      <c r="P400">
        <v>2598</v>
      </c>
      <c r="Q400" t="s">
        <v>27</v>
      </c>
      <c r="R400" t="s">
        <v>28</v>
      </c>
      <c r="S400">
        <v>3</v>
      </c>
    </row>
    <row r="401" spans="1:19">
      <c r="A401" t="s">
        <v>728</v>
      </c>
      <c r="B401" s="2">
        <v>46173</v>
      </c>
      <c r="C401" t="s">
        <v>139</v>
      </c>
      <c r="D401" t="s">
        <v>140</v>
      </c>
      <c r="E401" t="s">
        <v>22</v>
      </c>
      <c r="F401">
        <v>44</v>
      </c>
      <c r="G401" t="s">
        <v>141</v>
      </c>
      <c r="H401" t="s">
        <v>142</v>
      </c>
      <c r="I401" t="s">
        <v>25</v>
      </c>
      <c r="J401" t="s">
        <v>62</v>
      </c>
      <c r="K401">
        <v>1</v>
      </c>
      <c r="L401">
        <v>1299</v>
      </c>
      <c r="M401" s="3">
        <v>0.15</v>
      </c>
      <c r="N401">
        <v>1104.1500000000001</v>
      </c>
      <c r="O401">
        <v>800</v>
      </c>
      <c r="P401">
        <v>304.14999999999998</v>
      </c>
      <c r="Q401" t="s">
        <v>50</v>
      </c>
      <c r="R401" t="s">
        <v>28</v>
      </c>
      <c r="S401">
        <v>1</v>
      </c>
    </row>
    <row r="402" spans="1:19">
      <c r="A402" t="s">
        <v>729</v>
      </c>
      <c r="B402" s="2">
        <v>46190</v>
      </c>
      <c r="C402" t="s">
        <v>166</v>
      </c>
      <c r="D402" t="s">
        <v>167</v>
      </c>
      <c r="E402" t="s">
        <v>22</v>
      </c>
      <c r="F402">
        <v>36</v>
      </c>
      <c r="G402" t="s">
        <v>146</v>
      </c>
      <c r="H402" t="s">
        <v>61</v>
      </c>
      <c r="I402" t="s">
        <v>43</v>
      </c>
      <c r="J402" t="s">
        <v>44</v>
      </c>
      <c r="K402">
        <v>3</v>
      </c>
      <c r="L402">
        <v>1599</v>
      </c>
      <c r="M402" s="3">
        <v>0.15</v>
      </c>
      <c r="N402">
        <v>4077.45</v>
      </c>
      <c r="O402">
        <v>2850</v>
      </c>
      <c r="P402">
        <v>1227.45</v>
      </c>
      <c r="Q402" t="s">
        <v>50</v>
      </c>
      <c r="R402" t="s">
        <v>28</v>
      </c>
      <c r="S402">
        <v>4</v>
      </c>
    </row>
    <row r="403" spans="1:19">
      <c r="A403" t="s">
        <v>730</v>
      </c>
      <c r="B403" s="2">
        <v>45850</v>
      </c>
      <c r="C403" t="s">
        <v>422</v>
      </c>
      <c r="D403" t="s">
        <v>423</v>
      </c>
      <c r="E403" t="s">
        <v>22</v>
      </c>
      <c r="F403">
        <v>26</v>
      </c>
      <c r="G403" t="s">
        <v>141</v>
      </c>
      <c r="H403" t="s">
        <v>142</v>
      </c>
      <c r="I403" t="s">
        <v>163</v>
      </c>
      <c r="J403" t="s">
        <v>164</v>
      </c>
      <c r="K403">
        <v>4</v>
      </c>
      <c r="L403">
        <v>3499</v>
      </c>
      <c r="M403" s="3">
        <v>0.1</v>
      </c>
      <c r="N403">
        <v>12596.4</v>
      </c>
      <c r="O403">
        <v>8800</v>
      </c>
      <c r="P403">
        <v>3796.4</v>
      </c>
      <c r="Q403" t="s">
        <v>27</v>
      </c>
      <c r="R403" t="s">
        <v>77</v>
      </c>
      <c r="S403">
        <v>4</v>
      </c>
    </row>
    <row r="404" spans="1:19">
      <c r="A404" t="s">
        <v>731</v>
      </c>
      <c r="B404" s="2">
        <v>45874</v>
      </c>
      <c r="C404" t="s">
        <v>20</v>
      </c>
      <c r="D404" t="s">
        <v>21</v>
      </c>
      <c r="E404" t="s">
        <v>22</v>
      </c>
      <c r="F404">
        <v>52</v>
      </c>
      <c r="G404" t="s">
        <v>23</v>
      </c>
      <c r="H404" t="s">
        <v>24</v>
      </c>
      <c r="I404" t="s">
        <v>43</v>
      </c>
      <c r="J404" t="s">
        <v>281</v>
      </c>
      <c r="K404">
        <v>2</v>
      </c>
      <c r="L404">
        <v>2999</v>
      </c>
      <c r="M404" s="3">
        <v>0.05</v>
      </c>
      <c r="N404">
        <v>5698.1</v>
      </c>
      <c r="O404">
        <v>3600</v>
      </c>
      <c r="P404">
        <v>2098.1</v>
      </c>
      <c r="Q404" t="s">
        <v>69</v>
      </c>
      <c r="R404" t="s">
        <v>28</v>
      </c>
      <c r="S404">
        <v>2</v>
      </c>
    </row>
    <row r="405" spans="1:19">
      <c r="A405" t="s">
        <v>732</v>
      </c>
      <c r="B405" s="2">
        <v>45919</v>
      </c>
      <c r="C405" t="s">
        <v>243</v>
      </c>
      <c r="D405" t="s">
        <v>244</v>
      </c>
      <c r="E405" t="s">
        <v>22</v>
      </c>
      <c r="F405">
        <v>38</v>
      </c>
      <c r="G405" t="s">
        <v>23</v>
      </c>
      <c r="H405" t="s">
        <v>24</v>
      </c>
      <c r="I405" t="s">
        <v>163</v>
      </c>
      <c r="J405" t="s">
        <v>214</v>
      </c>
      <c r="K405">
        <v>1</v>
      </c>
      <c r="L405">
        <v>1499</v>
      </c>
      <c r="M405" s="3">
        <v>0.15</v>
      </c>
      <c r="N405">
        <v>1274.1500000000001</v>
      </c>
      <c r="O405">
        <v>900</v>
      </c>
      <c r="P405">
        <v>374.15</v>
      </c>
      <c r="Q405" t="s">
        <v>50</v>
      </c>
      <c r="R405" t="s">
        <v>28</v>
      </c>
      <c r="S405">
        <v>5</v>
      </c>
    </row>
    <row r="406" spans="1:19">
      <c r="A406" t="s">
        <v>733</v>
      </c>
      <c r="B406" s="2">
        <v>45707</v>
      </c>
      <c r="C406" t="s">
        <v>506</v>
      </c>
      <c r="D406" t="s">
        <v>414</v>
      </c>
      <c r="E406" t="s">
        <v>22</v>
      </c>
      <c r="F406">
        <v>42</v>
      </c>
      <c r="G406" t="s">
        <v>180</v>
      </c>
      <c r="H406" t="s">
        <v>181</v>
      </c>
      <c r="I406" t="s">
        <v>117</v>
      </c>
      <c r="J406" t="s">
        <v>118</v>
      </c>
      <c r="K406">
        <v>1</v>
      </c>
      <c r="L406">
        <v>999</v>
      </c>
      <c r="M406" s="3">
        <v>0</v>
      </c>
      <c r="N406">
        <v>999</v>
      </c>
      <c r="O406">
        <v>550</v>
      </c>
      <c r="P406">
        <v>449</v>
      </c>
      <c r="Q406" t="s">
        <v>69</v>
      </c>
      <c r="R406" t="s">
        <v>28</v>
      </c>
      <c r="S406">
        <v>4</v>
      </c>
    </row>
    <row r="407" spans="1:19">
      <c r="A407" t="s">
        <v>734</v>
      </c>
      <c r="B407" s="2">
        <v>45814</v>
      </c>
      <c r="C407" t="s">
        <v>243</v>
      </c>
      <c r="D407" t="s">
        <v>244</v>
      </c>
      <c r="E407" t="s">
        <v>22</v>
      </c>
      <c r="F407">
        <v>38</v>
      </c>
      <c r="G407" t="s">
        <v>23</v>
      </c>
      <c r="H407" t="s">
        <v>24</v>
      </c>
      <c r="I407" t="s">
        <v>35</v>
      </c>
      <c r="J407" t="s">
        <v>126</v>
      </c>
      <c r="K407">
        <v>3</v>
      </c>
      <c r="L407">
        <v>1499</v>
      </c>
      <c r="M407" s="3">
        <v>0.15</v>
      </c>
      <c r="N407">
        <v>3822.45</v>
      </c>
      <c r="O407">
        <v>2550</v>
      </c>
      <c r="P407">
        <v>1272.45</v>
      </c>
      <c r="Q407" t="s">
        <v>27</v>
      </c>
      <c r="R407" t="s">
        <v>28</v>
      </c>
      <c r="S407">
        <v>1</v>
      </c>
    </row>
    <row r="408" spans="1:19">
      <c r="A408" t="s">
        <v>735</v>
      </c>
      <c r="B408" s="2">
        <v>45934</v>
      </c>
      <c r="C408" t="s">
        <v>227</v>
      </c>
      <c r="D408" t="s">
        <v>228</v>
      </c>
      <c r="E408" t="s">
        <v>22</v>
      </c>
      <c r="F408">
        <v>24</v>
      </c>
      <c r="G408" t="s">
        <v>93</v>
      </c>
      <c r="H408" t="s">
        <v>94</v>
      </c>
      <c r="I408" t="s">
        <v>163</v>
      </c>
      <c r="J408" t="s">
        <v>234</v>
      </c>
      <c r="K408">
        <v>1</v>
      </c>
      <c r="L408">
        <v>999</v>
      </c>
      <c r="M408" s="3">
        <v>0.2</v>
      </c>
      <c r="N408">
        <v>799.2</v>
      </c>
      <c r="O408">
        <v>600</v>
      </c>
      <c r="P408">
        <v>199.2</v>
      </c>
      <c r="Q408" t="s">
        <v>50</v>
      </c>
      <c r="R408" t="s">
        <v>28</v>
      </c>
      <c r="S408">
        <v>2</v>
      </c>
    </row>
    <row r="409" spans="1:19">
      <c r="A409" t="s">
        <v>736</v>
      </c>
      <c r="B409" s="2">
        <v>45774</v>
      </c>
      <c r="C409" t="s">
        <v>475</v>
      </c>
      <c r="D409" t="s">
        <v>476</v>
      </c>
      <c r="E409" t="s">
        <v>32</v>
      </c>
      <c r="F409">
        <v>51</v>
      </c>
      <c r="G409" t="s">
        <v>141</v>
      </c>
      <c r="H409" t="s">
        <v>142</v>
      </c>
      <c r="I409" t="s">
        <v>25</v>
      </c>
      <c r="J409" t="s">
        <v>56</v>
      </c>
      <c r="K409">
        <v>1</v>
      </c>
      <c r="L409">
        <v>899</v>
      </c>
      <c r="M409" s="3">
        <v>0.1</v>
      </c>
      <c r="N409">
        <v>809.1</v>
      </c>
      <c r="O409">
        <v>550</v>
      </c>
      <c r="P409">
        <v>259.10000000000002</v>
      </c>
      <c r="Q409" t="s">
        <v>69</v>
      </c>
      <c r="R409" t="s">
        <v>28</v>
      </c>
      <c r="S409">
        <v>5</v>
      </c>
    </row>
    <row r="410" spans="1:19">
      <c r="A410" t="s">
        <v>737</v>
      </c>
      <c r="B410" s="2">
        <v>46077</v>
      </c>
      <c r="C410" t="s">
        <v>216</v>
      </c>
      <c r="D410" t="s">
        <v>217</v>
      </c>
      <c r="E410" t="s">
        <v>22</v>
      </c>
      <c r="F410">
        <v>43</v>
      </c>
      <c r="G410" t="s">
        <v>115</v>
      </c>
      <c r="H410" t="s">
        <v>116</v>
      </c>
      <c r="I410" t="s">
        <v>43</v>
      </c>
      <c r="J410" t="s">
        <v>197</v>
      </c>
      <c r="K410">
        <v>2</v>
      </c>
      <c r="L410">
        <v>1799</v>
      </c>
      <c r="M410" s="3">
        <v>0.1</v>
      </c>
      <c r="N410">
        <v>3238.2</v>
      </c>
      <c r="O410">
        <v>2100</v>
      </c>
      <c r="P410">
        <v>1138.2</v>
      </c>
      <c r="Q410" t="s">
        <v>37</v>
      </c>
      <c r="R410" t="s">
        <v>28</v>
      </c>
      <c r="S410">
        <v>5</v>
      </c>
    </row>
    <row r="411" spans="1:19">
      <c r="A411" t="s">
        <v>738</v>
      </c>
      <c r="B411" s="2">
        <v>45898</v>
      </c>
      <c r="C411" t="s">
        <v>207</v>
      </c>
      <c r="D411" t="s">
        <v>72</v>
      </c>
      <c r="E411" t="s">
        <v>22</v>
      </c>
      <c r="F411">
        <v>48</v>
      </c>
      <c r="G411" t="s">
        <v>180</v>
      </c>
      <c r="H411" t="s">
        <v>181</v>
      </c>
      <c r="I411" t="s">
        <v>43</v>
      </c>
      <c r="J411" t="s">
        <v>49</v>
      </c>
      <c r="K411">
        <v>4</v>
      </c>
      <c r="L411">
        <v>799</v>
      </c>
      <c r="M411" s="3">
        <v>0.1</v>
      </c>
      <c r="N411">
        <v>2876.4</v>
      </c>
      <c r="O411">
        <v>1800</v>
      </c>
      <c r="P411">
        <v>1076.4000000000001</v>
      </c>
      <c r="Q411" t="s">
        <v>69</v>
      </c>
      <c r="R411" t="s">
        <v>28</v>
      </c>
      <c r="S411">
        <v>1</v>
      </c>
    </row>
    <row r="412" spans="1:19">
      <c r="A412" t="s">
        <v>739</v>
      </c>
      <c r="B412" s="2">
        <v>45750</v>
      </c>
      <c r="C412" t="s">
        <v>250</v>
      </c>
      <c r="D412" t="s">
        <v>241</v>
      </c>
      <c r="E412" t="s">
        <v>32</v>
      </c>
      <c r="F412">
        <v>18</v>
      </c>
      <c r="G412" t="s">
        <v>251</v>
      </c>
      <c r="H412" t="s">
        <v>251</v>
      </c>
      <c r="I412" t="s">
        <v>75</v>
      </c>
      <c r="J412" t="s">
        <v>86</v>
      </c>
      <c r="K412">
        <v>4</v>
      </c>
      <c r="L412">
        <v>499</v>
      </c>
      <c r="M412" s="3">
        <v>0.05</v>
      </c>
      <c r="N412">
        <v>1896.2</v>
      </c>
      <c r="O412">
        <v>1200</v>
      </c>
      <c r="P412">
        <v>696.2</v>
      </c>
      <c r="Q412" t="s">
        <v>50</v>
      </c>
      <c r="R412" t="s">
        <v>28</v>
      </c>
      <c r="S412">
        <v>1</v>
      </c>
    </row>
    <row r="413" spans="1:19">
      <c r="A413" t="s">
        <v>740</v>
      </c>
      <c r="B413" s="2">
        <v>45961</v>
      </c>
      <c r="C413" t="s">
        <v>273</v>
      </c>
      <c r="D413" t="s">
        <v>274</v>
      </c>
      <c r="E413" t="s">
        <v>22</v>
      </c>
      <c r="F413">
        <v>41</v>
      </c>
      <c r="G413" t="s">
        <v>105</v>
      </c>
      <c r="H413" t="s">
        <v>105</v>
      </c>
      <c r="I413" t="s">
        <v>75</v>
      </c>
      <c r="J413" t="s">
        <v>76</v>
      </c>
      <c r="K413">
        <v>2</v>
      </c>
      <c r="L413">
        <v>399</v>
      </c>
      <c r="M413" s="3">
        <v>0.15</v>
      </c>
      <c r="N413">
        <v>678.3</v>
      </c>
      <c r="O413">
        <v>440</v>
      </c>
      <c r="P413">
        <v>238.3</v>
      </c>
      <c r="Q413" t="s">
        <v>37</v>
      </c>
      <c r="R413" t="s">
        <v>28</v>
      </c>
      <c r="S413">
        <v>1</v>
      </c>
    </row>
    <row r="414" spans="1:19">
      <c r="A414" t="s">
        <v>741</v>
      </c>
      <c r="B414" s="2">
        <v>45978</v>
      </c>
      <c r="C414" t="s">
        <v>458</v>
      </c>
      <c r="D414" t="s">
        <v>459</v>
      </c>
      <c r="E414" t="s">
        <v>32</v>
      </c>
      <c r="F414">
        <v>40</v>
      </c>
      <c r="G414" t="s">
        <v>60</v>
      </c>
      <c r="H414" t="s">
        <v>61</v>
      </c>
      <c r="I414" t="s">
        <v>25</v>
      </c>
      <c r="J414" t="s">
        <v>68</v>
      </c>
      <c r="K414">
        <v>3</v>
      </c>
      <c r="L414">
        <v>2999</v>
      </c>
      <c r="M414" s="3">
        <v>0.1</v>
      </c>
      <c r="N414">
        <v>8097.3</v>
      </c>
      <c r="O414">
        <v>5700</v>
      </c>
      <c r="P414">
        <v>2397.3000000000002</v>
      </c>
      <c r="Q414" t="s">
        <v>66</v>
      </c>
      <c r="R414" t="s">
        <v>28</v>
      </c>
      <c r="S414">
        <v>1</v>
      </c>
    </row>
    <row r="415" spans="1:19">
      <c r="A415" t="s">
        <v>742</v>
      </c>
      <c r="B415" s="2">
        <v>45994</v>
      </c>
      <c r="C415" t="s">
        <v>166</v>
      </c>
      <c r="D415" t="s">
        <v>167</v>
      </c>
      <c r="E415" t="s">
        <v>22</v>
      </c>
      <c r="F415">
        <v>36</v>
      </c>
      <c r="G415" t="s">
        <v>146</v>
      </c>
      <c r="H415" t="s">
        <v>61</v>
      </c>
      <c r="I415" t="s">
        <v>25</v>
      </c>
      <c r="J415" t="s">
        <v>156</v>
      </c>
      <c r="K415">
        <v>2</v>
      </c>
      <c r="L415">
        <v>1999</v>
      </c>
      <c r="M415" s="3">
        <v>0.05</v>
      </c>
      <c r="N415">
        <v>3798.1</v>
      </c>
      <c r="O415">
        <v>2600</v>
      </c>
      <c r="P415">
        <v>1198.0999999999999</v>
      </c>
      <c r="Q415" t="s">
        <v>37</v>
      </c>
      <c r="R415" t="s">
        <v>77</v>
      </c>
      <c r="S415">
        <v>3</v>
      </c>
    </row>
    <row r="416" spans="1:19">
      <c r="A416" t="s">
        <v>743</v>
      </c>
      <c r="B416" s="2">
        <v>45774</v>
      </c>
      <c r="C416" t="s">
        <v>637</v>
      </c>
      <c r="D416" t="s">
        <v>638</v>
      </c>
      <c r="E416" t="s">
        <v>22</v>
      </c>
      <c r="F416">
        <v>25</v>
      </c>
      <c r="G416" t="s">
        <v>141</v>
      </c>
      <c r="H416" t="s">
        <v>142</v>
      </c>
      <c r="I416" t="s">
        <v>163</v>
      </c>
      <c r="J416" t="s">
        <v>214</v>
      </c>
      <c r="K416">
        <v>3</v>
      </c>
      <c r="L416">
        <v>1499</v>
      </c>
      <c r="M416" s="3">
        <v>0.05</v>
      </c>
      <c r="N416">
        <v>4272.1499999999996</v>
      </c>
      <c r="O416">
        <v>2700</v>
      </c>
      <c r="P416">
        <v>1572.15</v>
      </c>
      <c r="Q416" t="s">
        <v>66</v>
      </c>
      <c r="R416" t="s">
        <v>28</v>
      </c>
      <c r="S416">
        <v>4</v>
      </c>
    </row>
    <row r="417" spans="1:19">
      <c r="A417" t="s">
        <v>744</v>
      </c>
      <c r="B417" s="2">
        <v>45828</v>
      </c>
      <c r="C417" t="s">
        <v>39</v>
      </c>
      <c r="D417" t="s">
        <v>40</v>
      </c>
      <c r="E417" t="s">
        <v>22</v>
      </c>
      <c r="F417">
        <v>39</v>
      </c>
      <c r="G417" t="s">
        <v>41</v>
      </c>
      <c r="H417" t="s">
        <v>42</v>
      </c>
      <c r="I417" t="s">
        <v>163</v>
      </c>
      <c r="J417" t="s">
        <v>290</v>
      </c>
      <c r="K417">
        <v>4</v>
      </c>
      <c r="L417">
        <v>1999</v>
      </c>
      <c r="M417" s="3">
        <v>0.15</v>
      </c>
      <c r="N417">
        <v>6796.6</v>
      </c>
      <c r="O417">
        <v>4800</v>
      </c>
      <c r="P417">
        <v>1996.6</v>
      </c>
      <c r="Q417" t="s">
        <v>69</v>
      </c>
      <c r="R417" t="s">
        <v>28</v>
      </c>
      <c r="S417">
        <v>1</v>
      </c>
    </row>
    <row r="418" spans="1:19">
      <c r="A418" t="s">
        <v>745</v>
      </c>
      <c r="B418" s="2">
        <v>46152</v>
      </c>
      <c r="C418" t="s">
        <v>746</v>
      </c>
      <c r="D418" t="s">
        <v>747</v>
      </c>
      <c r="E418" t="s">
        <v>22</v>
      </c>
      <c r="F418">
        <v>20</v>
      </c>
      <c r="G418" t="s">
        <v>48</v>
      </c>
      <c r="H418" t="s">
        <v>42</v>
      </c>
      <c r="I418" t="s">
        <v>25</v>
      </c>
      <c r="J418" t="s">
        <v>56</v>
      </c>
      <c r="K418">
        <v>4</v>
      </c>
      <c r="L418">
        <v>899</v>
      </c>
      <c r="M418" s="3">
        <v>0.2</v>
      </c>
      <c r="N418">
        <v>2876.8</v>
      </c>
      <c r="O418">
        <v>2200</v>
      </c>
      <c r="P418">
        <v>676.8</v>
      </c>
      <c r="Q418" t="s">
        <v>50</v>
      </c>
      <c r="R418" t="s">
        <v>28</v>
      </c>
      <c r="S418">
        <v>2</v>
      </c>
    </row>
    <row r="419" spans="1:19">
      <c r="A419" t="s">
        <v>748</v>
      </c>
      <c r="B419" s="2">
        <v>46152</v>
      </c>
      <c r="C419" t="s">
        <v>192</v>
      </c>
      <c r="D419" t="s">
        <v>193</v>
      </c>
      <c r="E419" t="s">
        <v>32</v>
      </c>
      <c r="F419">
        <v>47</v>
      </c>
      <c r="G419" t="s">
        <v>93</v>
      </c>
      <c r="H419" t="s">
        <v>94</v>
      </c>
      <c r="I419" t="s">
        <v>163</v>
      </c>
      <c r="J419" t="s">
        <v>214</v>
      </c>
      <c r="K419">
        <v>1</v>
      </c>
      <c r="L419">
        <v>1499</v>
      </c>
      <c r="M419" s="3">
        <v>0.05</v>
      </c>
      <c r="N419">
        <v>1424.05</v>
      </c>
      <c r="O419">
        <v>900</v>
      </c>
      <c r="P419">
        <v>524.04999999999995</v>
      </c>
      <c r="Q419" t="s">
        <v>66</v>
      </c>
      <c r="R419" t="s">
        <v>28</v>
      </c>
      <c r="S419">
        <v>4</v>
      </c>
    </row>
    <row r="420" spans="1:19">
      <c r="A420" t="s">
        <v>749</v>
      </c>
      <c r="B420" s="2">
        <v>45979</v>
      </c>
      <c r="C420" t="s">
        <v>345</v>
      </c>
      <c r="D420" t="s">
        <v>346</v>
      </c>
      <c r="E420" t="s">
        <v>32</v>
      </c>
      <c r="F420">
        <v>33</v>
      </c>
      <c r="G420" t="s">
        <v>73</v>
      </c>
      <c r="H420" t="s">
        <v>74</v>
      </c>
      <c r="I420" t="s">
        <v>25</v>
      </c>
      <c r="J420" t="s">
        <v>68</v>
      </c>
      <c r="K420">
        <v>1</v>
      </c>
      <c r="L420">
        <v>2999</v>
      </c>
      <c r="M420" s="3">
        <v>0.1</v>
      </c>
      <c r="N420">
        <v>2699.1</v>
      </c>
      <c r="O420">
        <v>1900</v>
      </c>
      <c r="P420">
        <v>799.1</v>
      </c>
      <c r="Q420" t="s">
        <v>69</v>
      </c>
      <c r="R420" t="s">
        <v>28</v>
      </c>
      <c r="S420">
        <v>5</v>
      </c>
    </row>
    <row r="421" spans="1:19">
      <c r="A421" t="s">
        <v>750</v>
      </c>
      <c r="B421" s="2">
        <v>46189</v>
      </c>
      <c r="C421" t="s">
        <v>71</v>
      </c>
      <c r="D421" t="s">
        <v>72</v>
      </c>
      <c r="E421" t="s">
        <v>32</v>
      </c>
      <c r="F421">
        <v>53</v>
      </c>
      <c r="G421" t="s">
        <v>73</v>
      </c>
      <c r="H421" t="s">
        <v>74</v>
      </c>
      <c r="I421" t="s">
        <v>117</v>
      </c>
      <c r="J421" t="s">
        <v>152</v>
      </c>
      <c r="K421">
        <v>2</v>
      </c>
      <c r="L421">
        <v>899</v>
      </c>
      <c r="M421" s="3">
        <v>0.1</v>
      </c>
      <c r="N421">
        <v>1618.2</v>
      </c>
      <c r="O421">
        <v>1000</v>
      </c>
      <c r="P421">
        <v>618.20000000000005</v>
      </c>
      <c r="Q421" t="s">
        <v>50</v>
      </c>
      <c r="R421" t="s">
        <v>28</v>
      </c>
      <c r="S421">
        <v>5</v>
      </c>
    </row>
    <row r="422" spans="1:19">
      <c r="A422" t="s">
        <v>751</v>
      </c>
      <c r="B422" s="2">
        <v>46012</v>
      </c>
      <c r="C422" t="s">
        <v>579</v>
      </c>
      <c r="D422" t="s">
        <v>145</v>
      </c>
      <c r="E422" t="s">
        <v>32</v>
      </c>
      <c r="F422">
        <v>22</v>
      </c>
      <c r="G422" t="s">
        <v>141</v>
      </c>
      <c r="H422" t="s">
        <v>142</v>
      </c>
      <c r="I422" t="s">
        <v>163</v>
      </c>
      <c r="J422" t="s">
        <v>234</v>
      </c>
      <c r="K422">
        <v>2</v>
      </c>
      <c r="L422">
        <v>999</v>
      </c>
      <c r="M422" s="3">
        <v>0.15</v>
      </c>
      <c r="N422">
        <v>1698.3</v>
      </c>
      <c r="O422">
        <v>1200</v>
      </c>
      <c r="P422">
        <v>498.3</v>
      </c>
      <c r="Q422" t="s">
        <v>66</v>
      </c>
      <c r="R422" t="s">
        <v>28</v>
      </c>
      <c r="S422">
        <v>5</v>
      </c>
    </row>
    <row r="423" spans="1:19">
      <c r="A423" t="s">
        <v>752</v>
      </c>
      <c r="B423" s="2">
        <v>46138</v>
      </c>
      <c r="C423" t="s">
        <v>332</v>
      </c>
      <c r="D423" t="s">
        <v>333</v>
      </c>
      <c r="E423" t="s">
        <v>32</v>
      </c>
      <c r="F423">
        <v>28</v>
      </c>
      <c r="G423" t="s">
        <v>93</v>
      </c>
      <c r="H423" t="s">
        <v>94</v>
      </c>
      <c r="I423" t="s">
        <v>25</v>
      </c>
      <c r="J423" t="s">
        <v>156</v>
      </c>
      <c r="K423">
        <v>2</v>
      </c>
      <c r="L423">
        <v>1999</v>
      </c>
      <c r="M423" s="3">
        <v>0.2</v>
      </c>
      <c r="N423">
        <v>3198.4</v>
      </c>
      <c r="O423">
        <v>2600</v>
      </c>
      <c r="P423">
        <v>598.4</v>
      </c>
      <c r="Q423" t="s">
        <v>66</v>
      </c>
      <c r="R423" t="s">
        <v>137</v>
      </c>
      <c r="S423">
        <v>1</v>
      </c>
    </row>
    <row r="424" spans="1:19">
      <c r="A424" t="s">
        <v>753</v>
      </c>
      <c r="B424" s="2">
        <v>45942</v>
      </c>
      <c r="C424" t="s">
        <v>64</v>
      </c>
      <c r="D424" t="s">
        <v>65</v>
      </c>
      <c r="E424" t="s">
        <v>32</v>
      </c>
      <c r="F424">
        <v>31</v>
      </c>
      <c r="G424" t="s">
        <v>33</v>
      </c>
      <c r="H424" t="s">
        <v>34</v>
      </c>
      <c r="I424" t="s">
        <v>163</v>
      </c>
      <c r="J424" t="s">
        <v>164</v>
      </c>
      <c r="K424">
        <v>2</v>
      </c>
      <c r="L424">
        <v>3499</v>
      </c>
      <c r="M424" s="3">
        <v>0.1</v>
      </c>
      <c r="N424">
        <v>6298.2</v>
      </c>
      <c r="O424">
        <v>4400</v>
      </c>
      <c r="P424">
        <v>1898.2</v>
      </c>
      <c r="Q424" t="s">
        <v>69</v>
      </c>
      <c r="R424" t="s">
        <v>28</v>
      </c>
      <c r="S424">
        <v>5</v>
      </c>
    </row>
    <row r="425" spans="1:19">
      <c r="A425" t="s">
        <v>754</v>
      </c>
      <c r="B425" s="2">
        <v>46128</v>
      </c>
      <c r="C425" t="s">
        <v>516</v>
      </c>
      <c r="D425" t="s">
        <v>449</v>
      </c>
      <c r="E425" t="s">
        <v>22</v>
      </c>
      <c r="F425">
        <v>45</v>
      </c>
      <c r="G425" t="s">
        <v>41</v>
      </c>
      <c r="H425" t="s">
        <v>42</v>
      </c>
      <c r="I425" t="s">
        <v>163</v>
      </c>
      <c r="J425" t="s">
        <v>290</v>
      </c>
      <c r="K425">
        <v>2</v>
      </c>
      <c r="L425">
        <v>1999</v>
      </c>
      <c r="M425" s="3">
        <v>0</v>
      </c>
      <c r="N425">
        <v>3998</v>
      </c>
      <c r="O425">
        <v>2400</v>
      </c>
      <c r="P425">
        <v>1598</v>
      </c>
      <c r="Q425" t="s">
        <v>66</v>
      </c>
      <c r="R425" t="s">
        <v>137</v>
      </c>
      <c r="S425">
        <v>4</v>
      </c>
    </row>
    <row r="426" spans="1:19">
      <c r="A426" t="s">
        <v>755</v>
      </c>
      <c r="B426" s="2">
        <v>45779</v>
      </c>
      <c r="C426" t="s">
        <v>692</v>
      </c>
      <c r="D426" t="s">
        <v>343</v>
      </c>
      <c r="E426" t="s">
        <v>22</v>
      </c>
      <c r="F426">
        <v>50</v>
      </c>
      <c r="G426" t="s">
        <v>48</v>
      </c>
      <c r="H426" t="s">
        <v>42</v>
      </c>
      <c r="I426" t="s">
        <v>35</v>
      </c>
      <c r="J426" t="s">
        <v>36</v>
      </c>
      <c r="K426">
        <v>4</v>
      </c>
      <c r="L426">
        <v>599</v>
      </c>
      <c r="M426" s="3">
        <v>0.1</v>
      </c>
      <c r="N426">
        <v>2156.4</v>
      </c>
      <c r="O426">
        <v>1280</v>
      </c>
      <c r="P426">
        <v>876.4</v>
      </c>
      <c r="Q426" t="s">
        <v>66</v>
      </c>
      <c r="R426" t="s">
        <v>28</v>
      </c>
      <c r="S426">
        <v>1</v>
      </c>
    </row>
    <row r="427" spans="1:19">
      <c r="A427" t="s">
        <v>756</v>
      </c>
      <c r="B427" s="2">
        <v>46228</v>
      </c>
      <c r="C427" t="s">
        <v>595</v>
      </c>
      <c r="D427" t="s">
        <v>596</v>
      </c>
      <c r="E427" t="s">
        <v>22</v>
      </c>
      <c r="F427">
        <v>25</v>
      </c>
      <c r="G427" t="s">
        <v>180</v>
      </c>
      <c r="H427" t="s">
        <v>181</v>
      </c>
      <c r="I427" t="s">
        <v>163</v>
      </c>
      <c r="J427" t="s">
        <v>290</v>
      </c>
      <c r="K427">
        <v>4</v>
      </c>
      <c r="L427">
        <v>1999</v>
      </c>
      <c r="M427" s="3">
        <v>0</v>
      </c>
      <c r="N427">
        <v>7996</v>
      </c>
      <c r="O427">
        <v>4800</v>
      </c>
      <c r="P427">
        <v>3196</v>
      </c>
      <c r="Q427" t="s">
        <v>50</v>
      </c>
      <c r="R427" t="s">
        <v>28</v>
      </c>
      <c r="S427">
        <v>1</v>
      </c>
    </row>
    <row r="428" spans="1:19">
      <c r="A428" t="s">
        <v>757</v>
      </c>
      <c r="B428" s="2">
        <v>46007</v>
      </c>
      <c r="C428" t="s">
        <v>227</v>
      </c>
      <c r="D428" t="s">
        <v>228</v>
      </c>
      <c r="E428" t="s">
        <v>22</v>
      </c>
      <c r="F428">
        <v>24</v>
      </c>
      <c r="G428" t="s">
        <v>93</v>
      </c>
      <c r="H428" t="s">
        <v>94</v>
      </c>
      <c r="I428" t="s">
        <v>35</v>
      </c>
      <c r="J428" t="s">
        <v>108</v>
      </c>
      <c r="K428">
        <v>2</v>
      </c>
      <c r="L428">
        <v>699</v>
      </c>
      <c r="M428" s="3">
        <v>0.15</v>
      </c>
      <c r="N428">
        <v>1188.3</v>
      </c>
      <c r="O428">
        <v>760</v>
      </c>
      <c r="P428">
        <v>428.3</v>
      </c>
      <c r="Q428" t="s">
        <v>37</v>
      </c>
      <c r="R428" t="s">
        <v>137</v>
      </c>
      <c r="S428">
        <v>2</v>
      </c>
    </row>
    <row r="429" spans="1:19">
      <c r="A429" t="s">
        <v>758</v>
      </c>
      <c r="B429" s="2">
        <v>46121</v>
      </c>
      <c r="C429" t="s">
        <v>161</v>
      </c>
      <c r="D429" t="s">
        <v>162</v>
      </c>
      <c r="E429" t="s">
        <v>22</v>
      </c>
      <c r="F429">
        <v>44</v>
      </c>
      <c r="G429" t="s">
        <v>146</v>
      </c>
      <c r="H429" t="s">
        <v>61</v>
      </c>
      <c r="I429" t="s">
        <v>163</v>
      </c>
      <c r="J429" t="s">
        <v>164</v>
      </c>
      <c r="K429">
        <v>4</v>
      </c>
      <c r="L429">
        <v>3499</v>
      </c>
      <c r="M429" s="3">
        <v>0.1</v>
      </c>
      <c r="N429">
        <v>12596.4</v>
      </c>
      <c r="O429">
        <v>8800</v>
      </c>
      <c r="P429">
        <v>3796.4</v>
      </c>
      <c r="Q429" t="s">
        <v>69</v>
      </c>
      <c r="R429" t="s">
        <v>28</v>
      </c>
      <c r="S429">
        <v>2</v>
      </c>
    </row>
    <row r="430" spans="1:19">
      <c r="A430" t="s">
        <v>759</v>
      </c>
      <c r="B430" s="2">
        <v>46218</v>
      </c>
      <c r="C430" t="s">
        <v>760</v>
      </c>
      <c r="D430" t="s">
        <v>761</v>
      </c>
      <c r="E430" t="s">
        <v>22</v>
      </c>
      <c r="F430">
        <v>19</v>
      </c>
      <c r="G430" t="s">
        <v>93</v>
      </c>
      <c r="H430" t="s">
        <v>94</v>
      </c>
      <c r="I430" t="s">
        <v>163</v>
      </c>
      <c r="J430" t="s">
        <v>164</v>
      </c>
      <c r="K430">
        <v>3</v>
      </c>
      <c r="L430">
        <v>3499</v>
      </c>
      <c r="M430" s="3">
        <v>0.1</v>
      </c>
      <c r="N430">
        <v>9447.2999999999993</v>
      </c>
      <c r="O430">
        <v>6600</v>
      </c>
      <c r="P430">
        <v>2847.3</v>
      </c>
      <c r="Q430" t="s">
        <v>50</v>
      </c>
      <c r="R430" t="s">
        <v>28</v>
      </c>
      <c r="S430">
        <v>1</v>
      </c>
    </row>
    <row r="431" spans="1:19">
      <c r="A431" t="s">
        <v>762</v>
      </c>
      <c r="B431" s="2">
        <v>46077</v>
      </c>
      <c r="C431" t="s">
        <v>166</v>
      </c>
      <c r="D431" t="s">
        <v>167</v>
      </c>
      <c r="E431" t="s">
        <v>22</v>
      </c>
      <c r="F431">
        <v>36</v>
      </c>
      <c r="G431" t="s">
        <v>146</v>
      </c>
      <c r="H431" t="s">
        <v>61</v>
      </c>
      <c r="I431" t="s">
        <v>43</v>
      </c>
      <c r="J431" t="s">
        <v>95</v>
      </c>
      <c r="K431">
        <v>4</v>
      </c>
      <c r="L431">
        <v>2499</v>
      </c>
      <c r="M431" s="3">
        <v>0.05</v>
      </c>
      <c r="N431">
        <v>9496.2000000000007</v>
      </c>
      <c r="O431">
        <v>6000</v>
      </c>
      <c r="P431">
        <v>3496.2</v>
      </c>
      <c r="Q431" t="s">
        <v>69</v>
      </c>
      <c r="R431" t="s">
        <v>28</v>
      </c>
      <c r="S431">
        <v>2</v>
      </c>
    </row>
    <row r="432" spans="1:19">
      <c r="A432" t="s">
        <v>763</v>
      </c>
      <c r="B432" s="2">
        <v>46126</v>
      </c>
      <c r="C432" t="s">
        <v>603</v>
      </c>
      <c r="D432" t="s">
        <v>604</v>
      </c>
      <c r="E432" t="s">
        <v>32</v>
      </c>
      <c r="F432">
        <v>33</v>
      </c>
      <c r="G432" t="s">
        <v>41</v>
      </c>
      <c r="H432" t="s">
        <v>42</v>
      </c>
      <c r="I432" t="s">
        <v>25</v>
      </c>
      <c r="J432" t="s">
        <v>56</v>
      </c>
      <c r="K432">
        <v>4</v>
      </c>
      <c r="L432">
        <v>899</v>
      </c>
      <c r="M432" s="3">
        <v>0.05</v>
      </c>
      <c r="N432">
        <v>3416.2</v>
      </c>
      <c r="O432">
        <v>2200</v>
      </c>
      <c r="P432">
        <v>1216.2</v>
      </c>
      <c r="Q432" t="s">
        <v>27</v>
      </c>
      <c r="R432" t="s">
        <v>28</v>
      </c>
      <c r="S432">
        <v>1</v>
      </c>
    </row>
    <row r="433" spans="1:19">
      <c r="A433" t="s">
        <v>764</v>
      </c>
      <c r="B433" s="2">
        <v>46126</v>
      </c>
      <c r="C433" t="s">
        <v>491</v>
      </c>
      <c r="D433" t="s">
        <v>92</v>
      </c>
      <c r="E433" t="s">
        <v>22</v>
      </c>
      <c r="F433">
        <v>25</v>
      </c>
      <c r="G433" t="s">
        <v>23</v>
      </c>
      <c r="H433" t="s">
        <v>24</v>
      </c>
      <c r="I433" t="s">
        <v>25</v>
      </c>
      <c r="J433" t="s">
        <v>68</v>
      </c>
      <c r="K433">
        <v>1</v>
      </c>
      <c r="L433">
        <v>2999</v>
      </c>
      <c r="M433" s="3">
        <v>0.15</v>
      </c>
      <c r="N433">
        <v>2549.15</v>
      </c>
      <c r="O433">
        <v>1900</v>
      </c>
      <c r="P433">
        <v>649.15</v>
      </c>
      <c r="Q433" t="s">
        <v>50</v>
      </c>
      <c r="R433" t="s">
        <v>51</v>
      </c>
      <c r="S433">
        <v>2</v>
      </c>
    </row>
    <row r="434" spans="1:19">
      <c r="A434" t="s">
        <v>765</v>
      </c>
      <c r="B434" s="2">
        <v>46101</v>
      </c>
      <c r="C434" t="s">
        <v>207</v>
      </c>
      <c r="D434" t="s">
        <v>72</v>
      </c>
      <c r="E434" t="s">
        <v>22</v>
      </c>
      <c r="F434">
        <v>48</v>
      </c>
      <c r="G434" t="s">
        <v>180</v>
      </c>
      <c r="H434" t="s">
        <v>181</v>
      </c>
      <c r="I434" t="s">
        <v>25</v>
      </c>
      <c r="J434" t="s">
        <v>156</v>
      </c>
      <c r="K434">
        <v>1</v>
      </c>
      <c r="L434">
        <v>1999</v>
      </c>
      <c r="M434" s="3">
        <v>0.2</v>
      </c>
      <c r="N434">
        <v>1599.2</v>
      </c>
      <c r="O434">
        <v>1300</v>
      </c>
      <c r="P434">
        <v>299.2</v>
      </c>
      <c r="Q434" t="s">
        <v>50</v>
      </c>
      <c r="R434" t="s">
        <v>28</v>
      </c>
      <c r="S434">
        <v>5</v>
      </c>
    </row>
    <row r="435" spans="1:19">
      <c r="A435" t="s">
        <v>766</v>
      </c>
      <c r="B435" s="2">
        <v>45764</v>
      </c>
      <c r="C435" t="s">
        <v>511</v>
      </c>
      <c r="D435" t="s">
        <v>512</v>
      </c>
      <c r="E435" t="s">
        <v>22</v>
      </c>
      <c r="F435">
        <v>24</v>
      </c>
      <c r="G435" t="s">
        <v>115</v>
      </c>
      <c r="H435" t="s">
        <v>116</v>
      </c>
      <c r="I435" t="s">
        <v>117</v>
      </c>
      <c r="J435" t="s">
        <v>238</v>
      </c>
      <c r="K435">
        <v>2</v>
      </c>
      <c r="L435">
        <v>2499</v>
      </c>
      <c r="M435" s="3">
        <v>0.05</v>
      </c>
      <c r="N435">
        <v>4748.1000000000004</v>
      </c>
      <c r="O435">
        <v>3000</v>
      </c>
      <c r="P435">
        <v>1748.1</v>
      </c>
      <c r="Q435" t="s">
        <v>66</v>
      </c>
      <c r="R435" t="s">
        <v>28</v>
      </c>
      <c r="S435">
        <v>5</v>
      </c>
    </row>
    <row r="436" spans="1:19">
      <c r="A436" t="s">
        <v>767</v>
      </c>
      <c r="B436" s="2">
        <v>45912</v>
      </c>
      <c r="C436" t="s">
        <v>110</v>
      </c>
      <c r="D436" t="s">
        <v>111</v>
      </c>
      <c r="E436" t="s">
        <v>22</v>
      </c>
      <c r="F436">
        <v>47</v>
      </c>
      <c r="G436" t="s">
        <v>48</v>
      </c>
      <c r="H436" t="s">
        <v>42</v>
      </c>
      <c r="I436" t="s">
        <v>35</v>
      </c>
      <c r="J436" t="s">
        <v>108</v>
      </c>
      <c r="K436">
        <v>4</v>
      </c>
      <c r="L436">
        <v>699</v>
      </c>
      <c r="M436" s="3">
        <v>0.15</v>
      </c>
      <c r="N436">
        <v>2376.6</v>
      </c>
      <c r="O436">
        <v>1520</v>
      </c>
      <c r="P436">
        <v>856.6</v>
      </c>
      <c r="Q436" t="s">
        <v>37</v>
      </c>
      <c r="R436" t="s">
        <v>28</v>
      </c>
      <c r="S436">
        <v>3</v>
      </c>
    </row>
    <row r="437" spans="1:19">
      <c r="A437" t="s">
        <v>768</v>
      </c>
      <c r="B437" s="2">
        <v>46080</v>
      </c>
      <c r="C437" t="s">
        <v>204</v>
      </c>
      <c r="D437" t="s">
        <v>205</v>
      </c>
      <c r="E437" t="s">
        <v>22</v>
      </c>
      <c r="F437">
        <v>45</v>
      </c>
      <c r="G437" t="s">
        <v>81</v>
      </c>
      <c r="H437" t="s">
        <v>82</v>
      </c>
      <c r="I437" t="s">
        <v>35</v>
      </c>
      <c r="J437" t="s">
        <v>136</v>
      </c>
      <c r="K437">
        <v>2</v>
      </c>
      <c r="L437">
        <v>799</v>
      </c>
      <c r="M437" s="3">
        <v>0.05</v>
      </c>
      <c r="N437">
        <v>1518.1</v>
      </c>
      <c r="O437">
        <v>900</v>
      </c>
      <c r="P437">
        <v>618.1</v>
      </c>
      <c r="Q437" t="s">
        <v>50</v>
      </c>
      <c r="R437" t="s">
        <v>28</v>
      </c>
      <c r="S437">
        <v>5</v>
      </c>
    </row>
    <row r="438" spans="1:19">
      <c r="A438" t="s">
        <v>769</v>
      </c>
      <c r="B438" s="2">
        <v>45880</v>
      </c>
      <c r="C438" t="s">
        <v>84</v>
      </c>
      <c r="D438" t="s">
        <v>85</v>
      </c>
      <c r="E438" t="s">
        <v>32</v>
      </c>
      <c r="F438">
        <v>20</v>
      </c>
      <c r="G438" t="s">
        <v>41</v>
      </c>
      <c r="H438" t="s">
        <v>42</v>
      </c>
      <c r="I438" t="s">
        <v>117</v>
      </c>
      <c r="J438" t="s">
        <v>238</v>
      </c>
      <c r="K438">
        <v>3</v>
      </c>
      <c r="L438">
        <v>2499</v>
      </c>
      <c r="M438" s="3">
        <v>0.2</v>
      </c>
      <c r="N438">
        <v>5997.6</v>
      </c>
      <c r="O438">
        <v>4500</v>
      </c>
      <c r="P438">
        <v>1497.6</v>
      </c>
      <c r="Q438" t="s">
        <v>27</v>
      </c>
      <c r="R438" t="s">
        <v>28</v>
      </c>
      <c r="S438">
        <v>3</v>
      </c>
    </row>
    <row r="439" spans="1:19">
      <c r="A439" t="s">
        <v>770</v>
      </c>
      <c r="B439" s="2">
        <v>46173</v>
      </c>
      <c r="C439" t="s">
        <v>199</v>
      </c>
      <c r="D439" t="s">
        <v>200</v>
      </c>
      <c r="E439" t="s">
        <v>22</v>
      </c>
      <c r="F439">
        <v>42</v>
      </c>
      <c r="G439" t="s">
        <v>33</v>
      </c>
      <c r="H439" t="s">
        <v>34</v>
      </c>
      <c r="I439" t="s">
        <v>117</v>
      </c>
      <c r="J439" t="s">
        <v>118</v>
      </c>
      <c r="K439">
        <v>2</v>
      </c>
      <c r="L439">
        <v>999</v>
      </c>
      <c r="M439" s="3">
        <v>0.05</v>
      </c>
      <c r="N439">
        <v>1898.1</v>
      </c>
      <c r="O439">
        <v>1100</v>
      </c>
      <c r="P439">
        <v>798.1</v>
      </c>
      <c r="Q439" t="s">
        <v>50</v>
      </c>
      <c r="R439" t="s">
        <v>28</v>
      </c>
      <c r="S439">
        <v>3</v>
      </c>
    </row>
    <row r="440" spans="1:19">
      <c r="A440" t="s">
        <v>771</v>
      </c>
      <c r="B440" s="2">
        <v>46242</v>
      </c>
      <c r="C440" t="s">
        <v>254</v>
      </c>
      <c r="D440" t="s">
        <v>255</v>
      </c>
      <c r="E440" t="s">
        <v>22</v>
      </c>
      <c r="F440">
        <v>50</v>
      </c>
      <c r="G440" t="s">
        <v>141</v>
      </c>
      <c r="H440" t="s">
        <v>142</v>
      </c>
      <c r="I440" t="s">
        <v>163</v>
      </c>
      <c r="J440" t="s">
        <v>214</v>
      </c>
      <c r="K440">
        <v>4</v>
      </c>
      <c r="L440">
        <v>1499</v>
      </c>
      <c r="M440" s="3">
        <v>0.2</v>
      </c>
      <c r="N440">
        <v>4796.8</v>
      </c>
      <c r="O440">
        <v>3600</v>
      </c>
      <c r="P440">
        <v>1196.8</v>
      </c>
      <c r="Q440" t="s">
        <v>66</v>
      </c>
      <c r="R440" t="s">
        <v>28</v>
      </c>
      <c r="S440">
        <v>5</v>
      </c>
    </row>
    <row r="441" spans="1:19">
      <c r="A441" t="s">
        <v>772</v>
      </c>
      <c r="B441" s="2">
        <v>45767</v>
      </c>
      <c r="C441" t="s">
        <v>134</v>
      </c>
      <c r="D441" t="s">
        <v>135</v>
      </c>
      <c r="E441" t="s">
        <v>32</v>
      </c>
      <c r="F441">
        <v>53</v>
      </c>
      <c r="G441" t="s">
        <v>23</v>
      </c>
      <c r="H441" t="s">
        <v>24</v>
      </c>
      <c r="I441" t="s">
        <v>163</v>
      </c>
      <c r="J441" t="s">
        <v>234</v>
      </c>
      <c r="K441">
        <v>1</v>
      </c>
      <c r="L441">
        <v>999</v>
      </c>
      <c r="M441" s="3">
        <v>0.2</v>
      </c>
      <c r="N441">
        <v>799.2</v>
      </c>
      <c r="O441">
        <v>600</v>
      </c>
      <c r="P441">
        <v>199.2</v>
      </c>
      <c r="Q441" t="s">
        <v>69</v>
      </c>
      <c r="R441" t="s">
        <v>28</v>
      </c>
      <c r="S441">
        <v>1</v>
      </c>
    </row>
    <row r="442" spans="1:19">
      <c r="A442" t="s">
        <v>773</v>
      </c>
      <c r="B442" s="2">
        <v>45951</v>
      </c>
      <c r="C442" t="s">
        <v>384</v>
      </c>
      <c r="D442" t="s">
        <v>385</v>
      </c>
      <c r="E442" t="s">
        <v>32</v>
      </c>
      <c r="F442">
        <v>22</v>
      </c>
      <c r="G442" t="s">
        <v>48</v>
      </c>
      <c r="H442" t="s">
        <v>42</v>
      </c>
      <c r="I442" t="s">
        <v>43</v>
      </c>
      <c r="J442" t="s">
        <v>49</v>
      </c>
      <c r="K442">
        <v>3</v>
      </c>
      <c r="L442">
        <v>799</v>
      </c>
      <c r="M442" s="3">
        <v>0.05</v>
      </c>
      <c r="N442">
        <v>2277.15</v>
      </c>
      <c r="O442">
        <v>1350</v>
      </c>
      <c r="P442">
        <v>927.15</v>
      </c>
      <c r="Q442" t="s">
        <v>37</v>
      </c>
      <c r="R442" t="s">
        <v>28</v>
      </c>
      <c r="S442">
        <v>1</v>
      </c>
    </row>
    <row r="443" spans="1:19">
      <c r="A443" t="s">
        <v>774</v>
      </c>
      <c r="B443" s="2">
        <v>46121</v>
      </c>
      <c r="C443" t="s">
        <v>204</v>
      </c>
      <c r="D443" t="s">
        <v>205</v>
      </c>
      <c r="E443" t="s">
        <v>22</v>
      </c>
      <c r="F443">
        <v>45</v>
      </c>
      <c r="G443" t="s">
        <v>81</v>
      </c>
      <c r="H443" t="s">
        <v>82</v>
      </c>
      <c r="I443" t="s">
        <v>43</v>
      </c>
      <c r="J443" t="s">
        <v>49</v>
      </c>
      <c r="K443">
        <v>1</v>
      </c>
      <c r="L443">
        <v>799</v>
      </c>
      <c r="M443" s="3">
        <v>0.1</v>
      </c>
      <c r="N443">
        <v>719.1</v>
      </c>
      <c r="O443">
        <v>450</v>
      </c>
      <c r="P443">
        <v>269.10000000000002</v>
      </c>
      <c r="Q443" t="s">
        <v>69</v>
      </c>
      <c r="R443" t="s">
        <v>28</v>
      </c>
      <c r="S443">
        <v>5</v>
      </c>
    </row>
    <row r="444" spans="1:19">
      <c r="A444" t="s">
        <v>775</v>
      </c>
      <c r="B444" s="2">
        <v>46181</v>
      </c>
      <c r="C444" t="s">
        <v>479</v>
      </c>
      <c r="D444" t="s">
        <v>480</v>
      </c>
      <c r="E444" t="s">
        <v>22</v>
      </c>
      <c r="F444">
        <v>29</v>
      </c>
      <c r="G444" t="s">
        <v>146</v>
      </c>
      <c r="H444" t="s">
        <v>61</v>
      </c>
      <c r="I444" t="s">
        <v>117</v>
      </c>
      <c r="J444" t="s">
        <v>152</v>
      </c>
      <c r="K444">
        <v>4</v>
      </c>
      <c r="L444">
        <v>899</v>
      </c>
      <c r="M444" s="3">
        <v>0.05</v>
      </c>
      <c r="N444">
        <v>3416.2</v>
      </c>
      <c r="O444">
        <v>2000</v>
      </c>
      <c r="P444">
        <v>1416.2</v>
      </c>
      <c r="Q444" t="s">
        <v>37</v>
      </c>
      <c r="R444" t="s">
        <v>28</v>
      </c>
      <c r="S444">
        <v>1</v>
      </c>
    </row>
    <row r="445" spans="1:19">
      <c r="A445" t="s">
        <v>776</v>
      </c>
      <c r="B445" s="2">
        <v>46223</v>
      </c>
      <c r="C445" t="s">
        <v>192</v>
      </c>
      <c r="D445" t="s">
        <v>193</v>
      </c>
      <c r="E445" t="s">
        <v>32</v>
      </c>
      <c r="F445">
        <v>47</v>
      </c>
      <c r="G445" t="s">
        <v>93</v>
      </c>
      <c r="H445" t="s">
        <v>94</v>
      </c>
      <c r="I445" t="s">
        <v>163</v>
      </c>
      <c r="J445" t="s">
        <v>290</v>
      </c>
      <c r="K445">
        <v>4</v>
      </c>
      <c r="L445">
        <v>1999</v>
      </c>
      <c r="M445" s="3">
        <v>0.1</v>
      </c>
      <c r="N445">
        <v>7196.4</v>
      </c>
      <c r="O445">
        <v>4800</v>
      </c>
      <c r="P445">
        <v>2396.4</v>
      </c>
      <c r="Q445" t="s">
        <v>69</v>
      </c>
      <c r="R445" t="s">
        <v>28</v>
      </c>
      <c r="S445">
        <v>3</v>
      </c>
    </row>
    <row r="446" spans="1:19">
      <c r="A446" t="s">
        <v>777</v>
      </c>
      <c r="B446" s="2">
        <v>46034</v>
      </c>
      <c r="C446" t="s">
        <v>216</v>
      </c>
      <c r="D446" t="s">
        <v>217</v>
      </c>
      <c r="E446" t="s">
        <v>22</v>
      </c>
      <c r="F446">
        <v>43</v>
      </c>
      <c r="G446" t="s">
        <v>115</v>
      </c>
      <c r="H446" t="s">
        <v>116</v>
      </c>
      <c r="I446" t="s">
        <v>75</v>
      </c>
      <c r="J446" t="s">
        <v>106</v>
      </c>
      <c r="K446">
        <v>4</v>
      </c>
      <c r="L446">
        <v>899</v>
      </c>
      <c r="M446" s="3">
        <v>0.05</v>
      </c>
      <c r="N446">
        <v>3416.2</v>
      </c>
      <c r="O446">
        <v>2400</v>
      </c>
      <c r="P446">
        <v>1016.2</v>
      </c>
      <c r="Q446" t="s">
        <v>50</v>
      </c>
      <c r="R446" t="s">
        <v>28</v>
      </c>
      <c r="S446">
        <v>5</v>
      </c>
    </row>
    <row r="447" spans="1:19">
      <c r="A447" t="s">
        <v>778</v>
      </c>
      <c r="B447" s="2">
        <v>46117</v>
      </c>
      <c r="C447" t="s">
        <v>405</v>
      </c>
      <c r="D447" t="s">
        <v>213</v>
      </c>
      <c r="E447" t="s">
        <v>22</v>
      </c>
      <c r="F447">
        <v>28</v>
      </c>
      <c r="G447" t="s">
        <v>60</v>
      </c>
      <c r="H447" t="s">
        <v>61</v>
      </c>
      <c r="I447" t="s">
        <v>117</v>
      </c>
      <c r="J447" t="s">
        <v>152</v>
      </c>
      <c r="K447">
        <v>2</v>
      </c>
      <c r="L447">
        <v>899</v>
      </c>
      <c r="M447" s="3">
        <v>0.1</v>
      </c>
      <c r="N447">
        <v>1618.2</v>
      </c>
      <c r="O447">
        <v>1000</v>
      </c>
      <c r="P447">
        <v>618.20000000000005</v>
      </c>
      <c r="Q447" t="s">
        <v>27</v>
      </c>
      <c r="R447" t="s">
        <v>51</v>
      </c>
      <c r="S447">
        <v>1</v>
      </c>
    </row>
    <row r="448" spans="1:19">
      <c r="A448" t="s">
        <v>779</v>
      </c>
      <c r="B448" s="2">
        <v>45699</v>
      </c>
      <c r="C448" t="s">
        <v>46</v>
      </c>
      <c r="D448" t="s">
        <v>47</v>
      </c>
      <c r="E448" t="s">
        <v>32</v>
      </c>
      <c r="F448">
        <v>26</v>
      </c>
      <c r="G448" t="s">
        <v>48</v>
      </c>
      <c r="H448" t="s">
        <v>42</v>
      </c>
      <c r="I448" t="s">
        <v>43</v>
      </c>
      <c r="J448" t="s">
        <v>95</v>
      </c>
      <c r="K448">
        <v>1</v>
      </c>
      <c r="L448">
        <v>2499</v>
      </c>
      <c r="M448" s="3">
        <v>0.15</v>
      </c>
      <c r="N448">
        <v>2124.15</v>
      </c>
      <c r="O448">
        <v>1500</v>
      </c>
      <c r="P448">
        <v>624.15</v>
      </c>
      <c r="Q448" t="s">
        <v>66</v>
      </c>
      <c r="R448" t="s">
        <v>28</v>
      </c>
      <c r="S448">
        <v>3</v>
      </c>
    </row>
    <row r="449" spans="1:19">
      <c r="A449" t="s">
        <v>780</v>
      </c>
      <c r="B449" s="2">
        <v>45996</v>
      </c>
      <c r="C449" t="s">
        <v>342</v>
      </c>
      <c r="D449" t="s">
        <v>343</v>
      </c>
      <c r="E449" t="s">
        <v>22</v>
      </c>
      <c r="F449">
        <v>23</v>
      </c>
      <c r="G449" t="s">
        <v>48</v>
      </c>
      <c r="H449" t="s">
        <v>42</v>
      </c>
      <c r="I449" t="s">
        <v>43</v>
      </c>
      <c r="J449" t="s">
        <v>95</v>
      </c>
      <c r="K449">
        <v>3</v>
      </c>
      <c r="L449">
        <v>2499</v>
      </c>
      <c r="M449" s="3">
        <v>0</v>
      </c>
      <c r="N449">
        <v>7497</v>
      </c>
      <c r="O449">
        <v>4500</v>
      </c>
      <c r="P449">
        <v>2997</v>
      </c>
      <c r="Q449" t="s">
        <v>66</v>
      </c>
      <c r="R449" t="s">
        <v>28</v>
      </c>
      <c r="S449">
        <v>2</v>
      </c>
    </row>
    <row r="450" spans="1:19">
      <c r="A450" t="s">
        <v>781</v>
      </c>
      <c r="B450" s="2">
        <v>45710</v>
      </c>
      <c r="C450" t="s">
        <v>496</v>
      </c>
      <c r="D450" t="s">
        <v>408</v>
      </c>
      <c r="E450" t="s">
        <v>32</v>
      </c>
      <c r="F450">
        <v>54</v>
      </c>
      <c r="G450" t="s">
        <v>41</v>
      </c>
      <c r="H450" t="s">
        <v>42</v>
      </c>
      <c r="I450" t="s">
        <v>25</v>
      </c>
      <c r="J450" t="s">
        <v>62</v>
      </c>
      <c r="K450">
        <v>3</v>
      </c>
      <c r="L450">
        <v>1299</v>
      </c>
      <c r="M450" s="3">
        <v>0.2</v>
      </c>
      <c r="N450">
        <v>3117.6</v>
      </c>
      <c r="O450">
        <v>2400</v>
      </c>
      <c r="P450">
        <v>717.6</v>
      </c>
      <c r="Q450" t="s">
        <v>50</v>
      </c>
      <c r="R450" t="s">
        <v>137</v>
      </c>
      <c r="S450">
        <v>3</v>
      </c>
    </row>
    <row r="451" spans="1:19">
      <c r="A451" t="s">
        <v>782</v>
      </c>
      <c r="B451" s="2">
        <v>45983</v>
      </c>
      <c r="C451" t="s">
        <v>64</v>
      </c>
      <c r="D451" t="s">
        <v>65</v>
      </c>
      <c r="E451" t="s">
        <v>32</v>
      </c>
      <c r="F451">
        <v>31</v>
      </c>
      <c r="G451" t="s">
        <v>33</v>
      </c>
      <c r="H451" t="s">
        <v>34</v>
      </c>
      <c r="I451" t="s">
        <v>75</v>
      </c>
      <c r="J451" t="s">
        <v>86</v>
      </c>
      <c r="K451">
        <v>3</v>
      </c>
      <c r="L451">
        <v>499</v>
      </c>
      <c r="M451" s="3">
        <v>0</v>
      </c>
      <c r="N451">
        <v>1497</v>
      </c>
      <c r="O451">
        <v>900</v>
      </c>
      <c r="P451">
        <v>597</v>
      </c>
      <c r="Q451" t="s">
        <v>50</v>
      </c>
      <c r="R451" t="s">
        <v>28</v>
      </c>
      <c r="S451">
        <v>2</v>
      </c>
    </row>
    <row r="452" spans="1:19">
      <c r="A452" t="s">
        <v>783</v>
      </c>
      <c r="B452" s="2">
        <v>46214</v>
      </c>
      <c r="C452" t="s">
        <v>329</v>
      </c>
      <c r="D452" t="s">
        <v>330</v>
      </c>
      <c r="E452" t="s">
        <v>22</v>
      </c>
      <c r="F452">
        <v>28</v>
      </c>
      <c r="G452" t="s">
        <v>81</v>
      </c>
      <c r="H452" t="s">
        <v>82</v>
      </c>
      <c r="I452" t="s">
        <v>25</v>
      </c>
      <c r="J452" t="s">
        <v>26</v>
      </c>
      <c r="K452">
        <v>2</v>
      </c>
      <c r="L452">
        <v>2499</v>
      </c>
      <c r="M452" s="3">
        <v>0.15</v>
      </c>
      <c r="N452">
        <v>4248.3</v>
      </c>
      <c r="O452">
        <v>3200</v>
      </c>
      <c r="P452">
        <v>1048.3</v>
      </c>
      <c r="Q452" t="s">
        <v>50</v>
      </c>
      <c r="R452" t="s">
        <v>28</v>
      </c>
      <c r="S452">
        <v>3</v>
      </c>
    </row>
    <row r="453" spans="1:19">
      <c r="A453" t="s">
        <v>784</v>
      </c>
      <c r="B453" s="2">
        <v>46027</v>
      </c>
      <c r="C453" t="s">
        <v>310</v>
      </c>
      <c r="D453" t="s">
        <v>311</v>
      </c>
      <c r="E453" t="s">
        <v>32</v>
      </c>
      <c r="F453">
        <v>50</v>
      </c>
      <c r="G453" t="s">
        <v>81</v>
      </c>
      <c r="H453" t="s">
        <v>82</v>
      </c>
      <c r="I453" t="s">
        <v>43</v>
      </c>
      <c r="J453" t="s">
        <v>49</v>
      </c>
      <c r="K453">
        <v>3</v>
      </c>
      <c r="L453">
        <v>799</v>
      </c>
      <c r="M453" s="3">
        <v>0.1</v>
      </c>
      <c r="N453">
        <v>2157.3000000000002</v>
      </c>
      <c r="O453">
        <v>1350</v>
      </c>
      <c r="P453">
        <v>807.3</v>
      </c>
      <c r="Q453" t="s">
        <v>37</v>
      </c>
      <c r="R453" t="s">
        <v>28</v>
      </c>
      <c r="S453">
        <v>5</v>
      </c>
    </row>
    <row r="454" spans="1:19">
      <c r="A454" t="s">
        <v>785</v>
      </c>
      <c r="B454" s="2">
        <v>46012</v>
      </c>
      <c r="C454" t="s">
        <v>720</v>
      </c>
      <c r="D454" t="s">
        <v>200</v>
      </c>
      <c r="E454" t="s">
        <v>22</v>
      </c>
      <c r="F454">
        <v>22</v>
      </c>
      <c r="G454" t="s">
        <v>33</v>
      </c>
      <c r="H454" t="s">
        <v>34</v>
      </c>
      <c r="I454" t="s">
        <v>35</v>
      </c>
      <c r="J454" t="s">
        <v>36</v>
      </c>
      <c r="K454">
        <v>1</v>
      </c>
      <c r="L454">
        <v>599</v>
      </c>
      <c r="M454" s="3">
        <v>0</v>
      </c>
      <c r="N454">
        <v>599</v>
      </c>
      <c r="O454">
        <v>320</v>
      </c>
      <c r="P454">
        <v>279</v>
      </c>
      <c r="Q454" t="s">
        <v>66</v>
      </c>
      <c r="R454" t="s">
        <v>28</v>
      </c>
      <c r="S454">
        <v>5</v>
      </c>
    </row>
    <row r="455" spans="1:19">
      <c r="A455" t="s">
        <v>786</v>
      </c>
      <c r="B455" s="2">
        <v>45774</v>
      </c>
      <c r="C455" t="s">
        <v>189</v>
      </c>
      <c r="D455" t="s">
        <v>190</v>
      </c>
      <c r="E455" t="s">
        <v>32</v>
      </c>
      <c r="F455">
        <v>22</v>
      </c>
      <c r="G455" t="s">
        <v>115</v>
      </c>
      <c r="H455" t="s">
        <v>116</v>
      </c>
      <c r="I455" t="s">
        <v>25</v>
      </c>
      <c r="J455" t="s">
        <v>68</v>
      </c>
      <c r="K455">
        <v>3</v>
      </c>
      <c r="L455">
        <v>2999</v>
      </c>
      <c r="M455" s="3">
        <v>0.15</v>
      </c>
      <c r="N455">
        <v>7647.45</v>
      </c>
      <c r="O455">
        <v>5700</v>
      </c>
      <c r="P455">
        <v>1947.45</v>
      </c>
      <c r="Q455" t="s">
        <v>66</v>
      </c>
      <c r="R455" t="s">
        <v>28</v>
      </c>
      <c r="S455">
        <v>3</v>
      </c>
    </row>
    <row r="456" spans="1:19">
      <c r="A456" t="s">
        <v>787</v>
      </c>
      <c r="B456" s="2">
        <v>46178</v>
      </c>
      <c r="C456" t="s">
        <v>390</v>
      </c>
      <c r="D456" t="s">
        <v>391</v>
      </c>
      <c r="E456" t="s">
        <v>32</v>
      </c>
      <c r="F456">
        <v>27</v>
      </c>
      <c r="G456" t="s">
        <v>55</v>
      </c>
      <c r="H456" t="s">
        <v>34</v>
      </c>
      <c r="I456" t="s">
        <v>35</v>
      </c>
      <c r="J456" t="s">
        <v>108</v>
      </c>
      <c r="K456">
        <v>3</v>
      </c>
      <c r="L456">
        <v>699</v>
      </c>
      <c r="M456" s="3">
        <v>0.2</v>
      </c>
      <c r="N456">
        <v>1677.6</v>
      </c>
      <c r="O456">
        <v>1140</v>
      </c>
      <c r="P456">
        <v>537.6</v>
      </c>
      <c r="Q456" t="s">
        <v>66</v>
      </c>
      <c r="R456" t="s">
        <v>28</v>
      </c>
      <c r="S456">
        <v>3</v>
      </c>
    </row>
    <row r="457" spans="1:19">
      <c r="A457" t="s">
        <v>788</v>
      </c>
      <c r="B457" s="2">
        <v>45829</v>
      </c>
      <c r="C457" t="s">
        <v>789</v>
      </c>
      <c r="D457" t="s">
        <v>790</v>
      </c>
      <c r="E457" t="s">
        <v>22</v>
      </c>
      <c r="F457">
        <v>21</v>
      </c>
      <c r="G457" t="s">
        <v>141</v>
      </c>
      <c r="H457" t="s">
        <v>142</v>
      </c>
      <c r="I457" t="s">
        <v>163</v>
      </c>
      <c r="J457" t="s">
        <v>164</v>
      </c>
      <c r="K457">
        <v>1</v>
      </c>
      <c r="L457">
        <v>3499</v>
      </c>
      <c r="M457" s="3">
        <v>0</v>
      </c>
      <c r="N457">
        <v>3499</v>
      </c>
      <c r="O457">
        <v>2200</v>
      </c>
      <c r="P457">
        <v>1299</v>
      </c>
      <c r="Q457" t="s">
        <v>50</v>
      </c>
      <c r="R457" t="s">
        <v>28</v>
      </c>
      <c r="S457">
        <v>1</v>
      </c>
    </row>
    <row r="458" spans="1:19">
      <c r="A458" t="s">
        <v>791</v>
      </c>
      <c r="B458" s="2">
        <v>45764</v>
      </c>
      <c r="C458" t="s">
        <v>88</v>
      </c>
      <c r="D458" t="s">
        <v>89</v>
      </c>
      <c r="E458" t="s">
        <v>32</v>
      </c>
      <c r="F458">
        <v>53</v>
      </c>
      <c r="G458" t="s">
        <v>41</v>
      </c>
      <c r="H458" t="s">
        <v>42</v>
      </c>
      <c r="I458" t="s">
        <v>117</v>
      </c>
      <c r="J458" t="s">
        <v>118</v>
      </c>
      <c r="K458">
        <v>2</v>
      </c>
      <c r="L458">
        <v>999</v>
      </c>
      <c r="M458" s="3">
        <v>0.15</v>
      </c>
      <c r="N458">
        <v>1698.3</v>
      </c>
      <c r="O458">
        <v>1100</v>
      </c>
      <c r="P458">
        <v>598.29999999999995</v>
      </c>
      <c r="Q458" t="s">
        <v>27</v>
      </c>
      <c r="R458" t="s">
        <v>28</v>
      </c>
      <c r="S458">
        <v>4</v>
      </c>
    </row>
    <row r="459" spans="1:19">
      <c r="A459" t="s">
        <v>792</v>
      </c>
      <c r="B459" s="2">
        <v>46128</v>
      </c>
      <c r="C459" t="s">
        <v>261</v>
      </c>
      <c r="D459" t="s">
        <v>262</v>
      </c>
      <c r="E459" t="s">
        <v>22</v>
      </c>
      <c r="F459">
        <v>54</v>
      </c>
      <c r="G459" t="s">
        <v>60</v>
      </c>
      <c r="H459" t="s">
        <v>61</v>
      </c>
      <c r="I459" t="s">
        <v>117</v>
      </c>
      <c r="J459" t="s">
        <v>152</v>
      </c>
      <c r="K459">
        <v>2</v>
      </c>
      <c r="L459">
        <v>899</v>
      </c>
      <c r="M459" s="3">
        <v>0</v>
      </c>
      <c r="N459">
        <v>1798</v>
      </c>
      <c r="O459">
        <v>1000</v>
      </c>
      <c r="P459">
        <v>798</v>
      </c>
      <c r="Q459" t="s">
        <v>37</v>
      </c>
      <c r="R459" t="s">
        <v>28</v>
      </c>
      <c r="S459">
        <v>1</v>
      </c>
    </row>
    <row r="460" spans="1:19">
      <c r="A460" t="s">
        <v>793</v>
      </c>
      <c r="B460" s="2">
        <v>45730</v>
      </c>
      <c r="C460" t="s">
        <v>332</v>
      </c>
      <c r="D460" t="s">
        <v>333</v>
      </c>
      <c r="E460" t="s">
        <v>32</v>
      </c>
      <c r="F460">
        <v>28</v>
      </c>
      <c r="G460" t="s">
        <v>93</v>
      </c>
      <c r="H460" t="s">
        <v>94</v>
      </c>
      <c r="I460" t="s">
        <v>43</v>
      </c>
      <c r="J460" t="s">
        <v>95</v>
      </c>
      <c r="K460">
        <v>3</v>
      </c>
      <c r="L460">
        <v>2499</v>
      </c>
      <c r="M460" s="3">
        <v>0.2</v>
      </c>
      <c r="N460">
        <v>5997.6</v>
      </c>
      <c r="O460">
        <v>4500</v>
      </c>
      <c r="P460">
        <v>1497.6</v>
      </c>
      <c r="Q460" t="s">
        <v>50</v>
      </c>
      <c r="R460" t="s">
        <v>137</v>
      </c>
      <c r="S460">
        <v>3</v>
      </c>
    </row>
    <row r="461" spans="1:19">
      <c r="A461" t="s">
        <v>794</v>
      </c>
      <c r="B461" s="2">
        <v>46101</v>
      </c>
      <c r="C461" t="s">
        <v>568</v>
      </c>
      <c r="D461" t="s">
        <v>569</v>
      </c>
      <c r="E461" t="s">
        <v>22</v>
      </c>
      <c r="F461">
        <v>18</v>
      </c>
      <c r="G461" t="s">
        <v>48</v>
      </c>
      <c r="H461" t="s">
        <v>42</v>
      </c>
      <c r="I461" t="s">
        <v>163</v>
      </c>
      <c r="J461" t="s">
        <v>290</v>
      </c>
      <c r="K461">
        <v>4</v>
      </c>
      <c r="L461">
        <v>1999</v>
      </c>
      <c r="M461" s="3">
        <v>0.15</v>
      </c>
      <c r="N461">
        <v>6796.6</v>
      </c>
      <c r="O461">
        <v>4800</v>
      </c>
      <c r="P461">
        <v>1996.6</v>
      </c>
      <c r="Q461" t="s">
        <v>37</v>
      </c>
      <c r="R461" t="s">
        <v>28</v>
      </c>
      <c r="S461">
        <v>1</v>
      </c>
    </row>
    <row r="462" spans="1:19">
      <c r="A462" t="s">
        <v>795</v>
      </c>
      <c r="B462" s="2">
        <v>45704</v>
      </c>
      <c r="C462" t="s">
        <v>58</v>
      </c>
      <c r="D462" t="s">
        <v>59</v>
      </c>
      <c r="E462" t="s">
        <v>32</v>
      </c>
      <c r="F462">
        <v>25</v>
      </c>
      <c r="G462" t="s">
        <v>60</v>
      </c>
      <c r="H462" t="s">
        <v>61</v>
      </c>
      <c r="I462" t="s">
        <v>25</v>
      </c>
      <c r="J462" t="s">
        <v>156</v>
      </c>
      <c r="K462">
        <v>1</v>
      </c>
      <c r="L462">
        <v>1999</v>
      </c>
      <c r="M462" s="3">
        <v>0.2</v>
      </c>
      <c r="N462">
        <v>1599.2</v>
      </c>
      <c r="O462">
        <v>1300</v>
      </c>
      <c r="P462">
        <v>299.2</v>
      </c>
      <c r="Q462" t="s">
        <v>69</v>
      </c>
      <c r="R462" t="s">
        <v>28</v>
      </c>
      <c r="S462">
        <v>5</v>
      </c>
    </row>
    <row r="463" spans="1:19">
      <c r="A463" t="s">
        <v>796</v>
      </c>
      <c r="B463" s="2">
        <v>45746</v>
      </c>
      <c r="C463" t="s">
        <v>453</v>
      </c>
      <c r="D463" t="s">
        <v>454</v>
      </c>
      <c r="E463" t="s">
        <v>32</v>
      </c>
      <c r="F463">
        <v>25</v>
      </c>
      <c r="G463" t="s">
        <v>141</v>
      </c>
      <c r="H463" t="s">
        <v>142</v>
      </c>
      <c r="I463" t="s">
        <v>43</v>
      </c>
      <c r="J463" t="s">
        <v>44</v>
      </c>
      <c r="K463">
        <v>3</v>
      </c>
      <c r="L463">
        <v>1599</v>
      </c>
      <c r="M463" s="3">
        <v>0.2</v>
      </c>
      <c r="N463">
        <v>3837.6</v>
      </c>
      <c r="O463">
        <v>2850</v>
      </c>
      <c r="P463">
        <v>987.6</v>
      </c>
      <c r="Q463" t="s">
        <v>37</v>
      </c>
      <c r="R463" t="s">
        <v>28</v>
      </c>
      <c r="S463">
        <v>4</v>
      </c>
    </row>
    <row r="464" spans="1:19">
      <c r="A464" t="s">
        <v>797</v>
      </c>
      <c r="B464" s="2">
        <v>45818</v>
      </c>
      <c r="C464" t="s">
        <v>192</v>
      </c>
      <c r="D464" t="s">
        <v>193</v>
      </c>
      <c r="E464" t="s">
        <v>32</v>
      </c>
      <c r="F464">
        <v>47</v>
      </c>
      <c r="G464" t="s">
        <v>93</v>
      </c>
      <c r="H464" t="s">
        <v>94</v>
      </c>
      <c r="I464" t="s">
        <v>163</v>
      </c>
      <c r="J464" t="s">
        <v>290</v>
      </c>
      <c r="K464">
        <v>1</v>
      </c>
      <c r="L464">
        <v>1999</v>
      </c>
      <c r="M464" s="3">
        <v>0.15</v>
      </c>
      <c r="N464">
        <v>1699.15</v>
      </c>
      <c r="O464">
        <v>1200</v>
      </c>
      <c r="P464">
        <v>499.15</v>
      </c>
      <c r="Q464" t="s">
        <v>50</v>
      </c>
      <c r="R464" t="s">
        <v>28</v>
      </c>
      <c r="S464">
        <v>4</v>
      </c>
    </row>
    <row r="465" spans="1:19">
      <c r="A465" t="s">
        <v>798</v>
      </c>
      <c r="B465" s="2">
        <v>46040</v>
      </c>
      <c r="C465" t="s">
        <v>573</v>
      </c>
      <c r="D465" t="s">
        <v>92</v>
      </c>
      <c r="E465" t="s">
        <v>32</v>
      </c>
      <c r="F465">
        <v>41</v>
      </c>
      <c r="G465" t="s">
        <v>60</v>
      </c>
      <c r="H465" t="s">
        <v>61</v>
      </c>
      <c r="I465" t="s">
        <v>43</v>
      </c>
      <c r="J465" t="s">
        <v>44</v>
      </c>
      <c r="K465">
        <v>2</v>
      </c>
      <c r="L465">
        <v>1599</v>
      </c>
      <c r="M465" s="3">
        <v>0.1</v>
      </c>
      <c r="N465">
        <v>2878.2</v>
      </c>
      <c r="O465">
        <v>1900</v>
      </c>
      <c r="P465">
        <v>978.2</v>
      </c>
      <c r="Q465" t="s">
        <v>69</v>
      </c>
      <c r="R465" t="s">
        <v>28</v>
      </c>
      <c r="S465">
        <v>5</v>
      </c>
    </row>
    <row r="466" spans="1:19">
      <c r="A466" t="s">
        <v>799</v>
      </c>
      <c r="B466" s="2">
        <v>46244</v>
      </c>
      <c r="C466" t="s">
        <v>598</v>
      </c>
      <c r="D466" t="s">
        <v>225</v>
      </c>
      <c r="E466" t="s">
        <v>22</v>
      </c>
      <c r="F466">
        <v>37</v>
      </c>
      <c r="G466" t="s">
        <v>48</v>
      </c>
      <c r="H466" t="s">
        <v>42</v>
      </c>
      <c r="I466" t="s">
        <v>25</v>
      </c>
      <c r="J466" t="s">
        <v>56</v>
      </c>
      <c r="K466">
        <v>1</v>
      </c>
      <c r="L466">
        <v>899</v>
      </c>
      <c r="M466" s="3">
        <v>0</v>
      </c>
      <c r="N466">
        <v>899</v>
      </c>
      <c r="O466">
        <v>550</v>
      </c>
      <c r="P466">
        <v>349</v>
      </c>
      <c r="Q466" t="s">
        <v>50</v>
      </c>
      <c r="R466" t="s">
        <v>28</v>
      </c>
      <c r="S466">
        <v>5</v>
      </c>
    </row>
    <row r="467" spans="1:19">
      <c r="A467" t="s">
        <v>800</v>
      </c>
      <c r="B467" s="2">
        <v>45874</v>
      </c>
      <c r="C467" t="s">
        <v>801</v>
      </c>
      <c r="D467" t="s">
        <v>225</v>
      </c>
      <c r="E467" t="s">
        <v>32</v>
      </c>
      <c r="F467">
        <v>55</v>
      </c>
      <c r="G467" t="s">
        <v>41</v>
      </c>
      <c r="H467" t="s">
        <v>42</v>
      </c>
      <c r="I467" t="s">
        <v>43</v>
      </c>
      <c r="J467" t="s">
        <v>44</v>
      </c>
      <c r="K467">
        <v>2</v>
      </c>
      <c r="L467">
        <v>1599</v>
      </c>
      <c r="M467" s="3">
        <v>0.1</v>
      </c>
      <c r="N467">
        <v>2878.2</v>
      </c>
      <c r="O467">
        <v>1900</v>
      </c>
      <c r="P467">
        <v>978.2</v>
      </c>
      <c r="Q467" t="s">
        <v>66</v>
      </c>
      <c r="R467" t="s">
        <v>77</v>
      </c>
      <c r="S467">
        <v>2</v>
      </c>
    </row>
    <row r="468" spans="1:19">
      <c r="A468" t="s">
        <v>802</v>
      </c>
      <c r="B468" s="2">
        <v>45916</v>
      </c>
      <c r="C468" t="s">
        <v>676</v>
      </c>
      <c r="D468" t="s">
        <v>293</v>
      </c>
      <c r="E468" t="s">
        <v>22</v>
      </c>
      <c r="F468">
        <v>35</v>
      </c>
      <c r="G468" t="s">
        <v>23</v>
      </c>
      <c r="H468" t="s">
        <v>24</v>
      </c>
      <c r="I468" t="s">
        <v>43</v>
      </c>
      <c r="J468" t="s">
        <v>95</v>
      </c>
      <c r="K468">
        <v>2</v>
      </c>
      <c r="L468">
        <v>2499</v>
      </c>
      <c r="M468" s="3">
        <v>0.2</v>
      </c>
      <c r="N468">
        <v>3998.4</v>
      </c>
      <c r="O468">
        <v>3000</v>
      </c>
      <c r="P468">
        <v>998.4</v>
      </c>
      <c r="Q468" t="s">
        <v>27</v>
      </c>
      <c r="R468" t="s">
        <v>28</v>
      </c>
      <c r="S468">
        <v>5</v>
      </c>
    </row>
    <row r="469" spans="1:19">
      <c r="A469" t="s">
        <v>803</v>
      </c>
      <c r="B469" s="2">
        <v>45732</v>
      </c>
      <c r="C469" t="s">
        <v>332</v>
      </c>
      <c r="D469" t="s">
        <v>333</v>
      </c>
      <c r="E469" t="s">
        <v>32</v>
      </c>
      <c r="F469">
        <v>28</v>
      </c>
      <c r="G469" t="s">
        <v>93</v>
      </c>
      <c r="H469" t="s">
        <v>94</v>
      </c>
      <c r="I469" t="s">
        <v>35</v>
      </c>
      <c r="J469" t="s">
        <v>126</v>
      </c>
      <c r="K469">
        <v>4</v>
      </c>
      <c r="L469">
        <v>1499</v>
      </c>
      <c r="M469" s="3">
        <v>0.2</v>
      </c>
      <c r="N469">
        <v>4796.8</v>
      </c>
      <c r="O469">
        <v>3400</v>
      </c>
      <c r="P469">
        <v>1396.8</v>
      </c>
      <c r="Q469" t="s">
        <v>37</v>
      </c>
      <c r="R469" t="s">
        <v>28</v>
      </c>
      <c r="S469">
        <v>3</v>
      </c>
    </row>
    <row r="470" spans="1:19">
      <c r="A470" t="s">
        <v>804</v>
      </c>
      <c r="B470" s="2">
        <v>46023</v>
      </c>
      <c r="C470" t="s">
        <v>240</v>
      </c>
      <c r="D470" t="s">
        <v>241</v>
      </c>
      <c r="E470" t="s">
        <v>32</v>
      </c>
      <c r="F470">
        <v>51</v>
      </c>
      <c r="G470" t="s">
        <v>81</v>
      </c>
      <c r="H470" t="s">
        <v>82</v>
      </c>
      <c r="I470" t="s">
        <v>43</v>
      </c>
      <c r="J470" t="s">
        <v>49</v>
      </c>
      <c r="K470">
        <v>4</v>
      </c>
      <c r="L470">
        <v>799</v>
      </c>
      <c r="M470" s="3">
        <v>0.1</v>
      </c>
      <c r="N470">
        <v>2876.4</v>
      </c>
      <c r="O470">
        <v>1800</v>
      </c>
      <c r="P470">
        <v>1076.4000000000001</v>
      </c>
      <c r="Q470" t="s">
        <v>27</v>
      </c>
      <c r="R470" t="s">
        <v>28</v>
      </c>
      <c r="S470">
        <v>2</v>
      </c>
    </row>
    <row r="471" spans="1:19">
      <c r="A471" t="s">
        <v>805</v>
      </c>
      <c r="B471" s="2">
        <v>45983</v>
      </c>
      <c r="C471" t="s">
        <v>240</v>
      </c>
      <c r="D471" t="s">
        <v>241</v>
      </c>
      <c r="E471" t="s">
        <v>32</v>
      </c>
      <c r="F471">
        <v>51</v>
      </c>
      <c r="G471" t="s">
        <v>81</v>
      </c>
      <c r="H471" t="s">
        <v>82</v>
      </c>
      <c r="I471" t="s">
        <v>43</v>
      </c>
      <c r="J471" t="s">
        <v>44</v>
      </c>
      <c r="K471">
        <v>1</v>
      </c>
      <c r="L471">
        <v>1599</v>
      </c>
      <c r="M471" s="3">
        <v>0.05</v>
      </c>
      <c r="N471">
        <v>1519.05</v>
      </c>
      <c r="O471">
        <v>950</v>
      </c>
      <c r="P471">
        <v>569.04999999999995</v>
      </c>
      <c r="Q471" t="s">
        <v>66</v>
      </c>
      <c r="R471" t="s">
        <v>28</v>
      </c>
      <c r="S471">
        <v>5</v>
      </c>
    </row>
    <row r="472" spans="1:19">
      <c r="A472" t="s">
        <v>806</v>
      </c>
      <c r="B472" s="2">
        <v>46238</v>
      </c>
      <c r="C472" t="s">
        <v>103</v>
      </c>
      <c r="D472" t="s">
        <v>104</v>
      </c>
      <c r="E472" t="s">
        <v>32</v>
      </c>
      <c r="F472">
        <v>27</v>
      </c>
      <c r="G472" t="s">
        <v>105</v>
      </c>
      <c r="H472" t="s">
        <v>105</v>
      </c>
      <c r="I472" t="s">
        <v>117</v>
      </c>
      <c r="J472" t="s">
        <v>238</v>
      </c>
      <c r="K472">
        <v>2</v>
      </c>
      <c r="L472">
        <v>2499</v>
      </c>
      <c r="M472" s="3">
        <v>0.2</v>
      </c>
      <c r="N472">
        <v>3998.4</v>
      </c>
      <c r="O472">
        <v>3000</v>
      </c>
      <c r="P472">
        <v>998.4</v>
      </c>
      <c r="Q472" t="s">
        <v>37</v>
      </c>
      <c r="R472" t="s">
        <v>137</v>
      </c>
      <c r="S472">
        <v>4</v>
      </c>
    </row>
    <row r="473" spans="1:19">
      <c r="A473" t="s">
        <v>807</v>
      </c>
      <c r="B473" s="2">
        <v>45884</v>
      </c>
      <c r="C473" t="s">
        <v>407</v>
      </c>
      <c r="D473" t="s">
        <v>408</v>
      </c>
      <c r="E473" t="s">
        <v>32</v>
      </c>
      <c r="F473">
        <v>44</v>
      </c>
      <c r="G473" t="s">
        <v>48</v>
      </c>
      <c r="H473" t="s">
        <v>42</v>
      </c>
      <c r="I473" t="s">
        <v>25</v>
      </c>
      <c r="J473" t="s">
        <v>156</v>
      </c>
      <c r="K473">
        <v>3</v>
      </c>
      <c r="L473">
        <v>1999</v>
      </c>
      <c r="M473" s="3">
        <v>0.05</v>
      </c>
      <c r="N473">
        <v>5697.15</v>
      </c>
      <c r="O473">
        <v>3900</v>
      </c>
      <c r="P473">
        <v>1797.15</v>
      </c>
      <c r="Q473" t="s">
        <v>66</v>
      </c>
      <c r="R473" t="s">
        <v>28</v>
      </c>
      <c r="S473">
        <v>3</v>
      </c>
    </row>
    <row r="474" spans="1:19">
      <c r="A474" t="s">
        <v>808</v>
      </c>
      <c r="B474" s="2">
        <v>46131</v>
      </c>
      <c r="C474" t="s">
        <v>422</v>
      </c>
      <c r="D474" t="s">
        <v>423</v>
      </c>
      <c r="E474" t="s">
        <v>22</v>
      </c>
      <c r="F474">
        <v>26</v>
      </c>
      <c r="G474" t="s">
        <v>141</v>
      </c>
      <c r="H474" t="s">
        <v>142</v>
      </c>
      <c r="I474" t="s">
        <v>117</v>
      </c>
      <c r="J474" t="s">
        <v>118</v>
      </c>
      <c r="K474">
        <v>3</v>
      </c>
      <c r="L474">
        <v>999</v>
      </c>
      <c r="M474" s="3">
        <v>0.15</v>
      </c>
      <c r="N474">
        <v>2547.4499999999998</v>
      </c>
      <c r="O474">
        <v>1650</v>
      </c>
      <c r="P474">
        <v>897.45</v>
      </c>
      <c r="Q474" t="s">
        <v>66</v>
      </c>
      <c r="R474" t="s">
        <v>28</v>
      </c>
      <c r="S474">
        <v>3</v>
      </c>
    </row>
    <row r="475" spans="1:19">
      <c r="A475" t="s">
        <v>809</v>
      </c>
      <c r="B475" s="2">
        <v>45741</v>
      </c>
      <c r="C475" t="s">
        <v>178</v>
      </c>
      <c r="D475" t="s">
        <v>179</v>
      </c>
      <c r="E475" t="s">
        <v>32</v>
      </c>
      <c r="F475">
        <v>29</v>
      </c>
      <c r="G475" t="s">
        <v>180</v>
      </c>
      <c r="H475" t="s">
        <v>181</v>
      </c>
      <c r="I475" t="s">
        <v>35</v>
      </c>
      <c r="J475" t="s">
        <v>126</v>
      </c>
      <c r="K475">
        <v>1</v>
      </c>
      <c r="L475">
        <v>1499</v>
      </c>
      <c r="M475" s="3">
        <v>0.05</v>
      </c>
      <c r="N475">
        <v>1424.05</v>
      </c>
      <c r="O475">
        <v>850</v>
      </c>
      <c r="P475">
        <v>574.04999999999995</v>
      </c>
      <c r="Q475" t="s">
        <v>37</v>
      </c>
      <c r="R475" t="s">
        <v>137</v>
      </c>
      <c r="S475">
        <v>2</v>
      </c>
    </row>
    <row r="476" spans="1:19">
      <c r="A476" t="s">
        <v>810</v>
      </c>
      <c r="B476" s="2">
        <v>45735</v>
      </c>
      <c r="C476" t="s">
        <v>467</v>
      </c>
      <c r="D476" t="s">
        <v>322</v>
      </c>
      <c r="E476" t="s">
        <v>32</v>
      </c>
      <c r="F476">
        <v>41</v>
      </c>
      <c r="G476" t="s">
        <v>55</v>
      </c>
      <c r="H476" t="s">
        <v>34</v>
      </c>
      <c r="I476" t="s">
        <v>43</v>
      </c>
      <c r="J476" t="s">
        <v>49</v>
      </c>
      <c r="K476">
        <v>3</v>
      </c>
      <c r="L476">
        <v>799</v>
      </c>
      <c r="M476" s="3">
        <v>0</v>
      </c>
      <c r="N476">
        <v>2397</v>
      </c>
      <c r="O476">
        <v>1350</v>
      </c>
      <c r="P476">
        <v>1047</v>
      </c>
      <c r="Q476" t="s">
        <v>69</v>
      </c>
      <c r="R476" t="s">
        <v>137</v>
      </c>
      <c r="S476">
        <v>1</v>
      </c>
    </row>
    <row r="477" spans="1:19">
      <c r="A477" t="s">
        <v>811</v>
      </c>
      <c r="B477" s="2">
        <v>45875</v>
      </c>
      <c r="C477" t="s">
        <v>212</v>
      </c>
      <c r="D477" t="s">
        <v>213</v>
      </c>
      <c r="E477" t="s">
        <v>22</v>
      </c>
      <c r="F477">
        <v>33</v>
      </c>
      <c r="G477" t="s">
        <v>48</v>
      </c>
      <c r="H477" t="s">
        <v>42</v>
      </c>
      <c r="I477" t="s">
        <v>75</v>
      </c>
      <c r="J477" t="s">
        <v>86</v>
      </c>
      <c r="K477">
        <v>4</v>
      </c>
      <c r="L477">
        <v>499</v>
      </c>
      <c r="M477" s="3">
        <v>0.2</v>
      </c>
      <c r="N477">
        <v>1596.8</v>
      </c>
      <c r="O477">
        <v>1200</v>
      </c>
      <c r="P477">
        <v>396.8</v>
      </c>
      <c r="Q477" t="s">
        <v>69</v>
      </c>
      <c r="R477" t="s">
        <v>28</v>
      </c>
      <c r="S477">
        <v>5</v>
      </c>
    </row>
    <row r="478" spans="1:19">
      <c r="A478" t="s">
        <v>812</v>
      </c>
      <c r="B478" s="2">
        <v>46059</v>
      </c>
      <c r="C478" t="s">
        <v>233</v>
      </c>
      <c r="D478" t="s">
        <v>213</v>
      </c>
      <c r="E478" t="s">
        <v>32</v>
      </c>
      <c r="F478">
        <v>18</v>
      </c>
      <c r="G478" t="s">
        <v>93</v>
      </c>
      <c r="H478" t="s">
        <v>94</v>
      </c>
      <c r="I478" t="s">
        <v>35</v>
      </c>
      <c r="J478" t="s">
        <v>36</v>
      </c>
      <c r="K478">
        <v>2</v>
      </c>
      <c r="L478">
        <v>599</v>
      </c>
      <c r="M478" s="3">
        <v>0.1</v>
      </c>
      <c r="N478">
        <v>1078.2</v>
      </c>
      <c r="O478">
        <v>640</v>
      </c>
      <c r="P478">
        <v>438.2</v>
      </c>
      <c r="Q478" t="s">
        <v>27</v>
      </c>
      <c r="R478" t="s">
        <v>77</v>
      </c>
      <c r="S478">
        <v>3</v>
      </c>
    </row>
    <row r="479" spans="1:19">
      <c r="A479" t="s">
        <v>813</v>
      </c>
      <c r="B479" s="2">
        <v>46030</v>
      </c>
      <c r="C479" t="s">
        <v>422</v>
      </c>
      <c r="D479" t="s">
        <v>423</v>
      </c>
      <c r="E479" t="s">
        <v>22</v>
      </c>
      <c r="F479">
        <v>26</v>
      </c>
      <c r="G479" t="s">
        <v>141</v>
      </c>
      <c r="H479" t="s">
        <v>142</v>
      </c>
      <c r="I479" t="s">
        <v>35</v>
      </c>
      <c r="J479" t="s">
        <v>136</v>
      </c>
      <c r="K479">
        <v>1</v>
      </c>
      <c r="L479">
        <v>799</v>
      </c>
      <c r="M479" s="3">
        <v>0.15</v>
      </c>
      <c r="N479">
        <v>679.15</v>
      </c>
      <c r="O479">
        <v>450</v>
      </c>
      <c r="P479">
        <v>229.15</v>
      </c>
      <c r="Q479" t="s">
        <v>50</v>
      </c>
      <c r="R479" t="s">
        <v>28</v>
      </c>
      <c r="S479">
        <v>2</v>
      </c>
    </row>
    <row r="480" spans="1:19">
      <c r="A480" t="s">
        <v>814</v>
      </c>
      <c r="B480" s="2">
        <v>45821</v>
      </c>
      <c r="C480" t="s">
        <v>553</v>
      </c>
      <c r="D480" t="s">
        <v>554</v>
      </c>
      <c r="E480" t="s">
        <v>22</v>
      </c>
      <c r="F480">
        <v>54</v>
      </c>
      <c r="G480" t="s">
        <v>23</v>
      </c>
      <c r="H480" t="s">
        <v>24</v>
      </c>
      <c r="I480" t="s">
        <v>35</v>
      </c>
      <c r="J480" t="s">
        <v>108</v>
      </c>
      <c r="K480">
        <v>2</v>
      </c>
      <c r="L480">
        <v>699</v>
      </c>
      <c r="M480" s="3">
        <v>0.15</v>
      </c>
      <c r="N480">
        <v>1188.3</v>
      </c>
      <c r="O480">
        <v>760</v>
      </c>
      <c r="P480">
        <v>428.3</v>
      </c>
      <c r="Q480" t="s">
        <v>27</v>
      </c>
      <c r="R480" t="s">
        <v>28</v>
      </c>
      <c r="S480">
        <v>5</v>
      </c>
    </row>
    <row r="481" spans="1:19">
      <c r="A481" t="s">
        <v>815</v>
      </c>
      <c r="B481" s="2">
        <v>45699</v>
      </c>
      <c r="C481" t="s">
        <v>354</v>
      </c>
      <c r="D481" t="s">
        <v>339</v>
      </c>
      <c r="E481" t="s">
        <v>32</v>
      </c>
      <c r="F481">
        <v>25</v>
      </c>
      <c r="G481" t="s">
        <v>115</v>
      </c>
      <c r="H481" t="s">
        <v>116</v>
      </c>
      <c r="I481" t="s">
        <v>117</v>
      </c>
      <c r="J481" t="s">
        <v>152</v>
      </c>
      <c r="K481">
        <v>4</v>
      </c>
      <c r="L481">
        <v>899</v>
      </c>
      <c r="M481" s="3">
        <v>0.1</v>
      </c>
      <c r="N481">
        <v>3236.4</v>
      </c>
      <c r="O481">
        <v>2000</v>
      </c>
      <c r="P481">
        <v>1236.4000000000001</v>
      </c>
      <c r="Q481" t="s">
        <v>27</v>
      </c>
      <c r="R481" t="s">
        <v>28</v>
      </c>
      <c r="S481">
        <v>2</v>
      </c>
    </row>
    <row r="482" spans="1:19">
      <c r="A482" t="s">
        <v>816</v>
      </c>
      <c r="B482" s="2">
        <v>45701</v>
      </c>
      <c r="C482" t="s">
        <v>817</v>
      </c>
      <c r="D482" t="s">
        <v>818</v>
      </c>
      <c r="E482" t="s">
        <v>22</v>
      </c>
      <c r="F482">
        <v>38</v>
      </c>
      <c r="G482" t="s">
        <v>41</v>
      </c>
      <c r="H482" t="s">
        <v>42</v>
      </c>
      <c r="I482" t="s">
        <v>43</v>
      </c>
      <c r="J482" t="s">
        <v>197</v>
      </c>
      <c r="K482">
        <v>3</v>
      </c>
      <c r="L482">
        <v>1799</v>
      </c>
      <c r="M482" s="3">
        <v>0.05</v>
      </c>
      <c r="N482">
        <v>5127.1499999999996</v>
      </c>
      <c r="O482">
        <v>3150</v>
      </c>
      <c r="P482">
        <v>1977.15</v>
      </c>
      <c r="Q482" t="s">
        <v>27</v>
      </c>
      <c r="R482" t="s">
        <v>28</v>
      </c>
      <c r="S482">
        <v>3</v>
      </c>
    </row>
    <row r="483" spans="1:19">
      <c r="A483" t="s">
        <v>819</v>
      </c>
      <c r="B483" s="2">
        <v>45698</v>
      </c>
      <c r="C483" t="s">
        <v>527</v>
      </c>
      <c r="D483" t="s">
        <v>528</v>
      </c>
      <c r="E483" t="s">
        <v>22</v>
      </c>
      <c r="F483">
        <v>36</v>
      </c>
      <c r="G483" t="s">
        <v>93</v>
      </c>
      <c r="H483" t="s">
        <v>94</v>
      </c>
      <c r="I483" t="s">
        <v>35</v>
      </c>
      <c r="J483" t="s">
        <v>36</v>
      </c>
      <c r="K483">
        <v>4</v>
      </c>
      <c r="L483">
        <v>599</v>
      </c>
      <c r="M483" s="3">
        <v>0</v>
      </c>
      <c r="N483">
        <v>2396</v>
      </c>
      <c r="O483">
        <v>1280</v>
      </c>
      <c r="P483">
        <v>1116</v>
      </c>
      <c r="Q483" t="s">
        <v>37</v>
      </c>
      <c r="R483" t="s">
        <v>28</v>
      </c>
      <c r="S483">
        <v>5</v>
      </c>
    </row>
    <row r="484" spans="1:19">
      <c r="A484" t="s">
        <v>820</v>
      </c>
      <c r="B484" s="2">
        <v>46215</v>
      </c>
      <c r="C484" t="s">
        <v>648</v>
      </c>
      <c r="D484" t="s">
        <v>649</v>
      </c>
      <c r="E484" t="s">
        <v>32</v>
      </c>
      <c r="F484">
        <v>34</v>
      </c>
      <c r="G484" t="s">
        <v>23</v>
      </c>
      <c r="H484" t="s">
        <v>24</v>
      </c>
      <c r="I484" t="s">
        <v>117</v>
      </c>
      <c r="J484" t="s">
        <v>152</v>
      </c>
      <c r="K484">
        <v>3</v>
      </c>
      <c r="L484">
        <v>899</v>
      </c>
      <c r="M484" s="3">
        <v>0.2</v>
      </c>
      <c r="N484">
        <v>2157.6</v>
      </c>
      <c r="O484">
        <v>1500</v>
      </c>
      <c r="P484">
        <v>657.6</v>
      </c>
      <c r="Q484" t="s">
        <v>50</v>
      </c>
      <c r="R484" t="s">
        <v>28</v>
      </c>
      <c r="S484">
        <v>4</v>
      </c>
    </row>
    <row r="485" spans="1:19">
      <c r="A485" t="s">
        <v>821</v>
      </c>
      <c r="B485" s="2">
        <v>45915</v>
      </c>
      <c r="C485" t="s">
        <v>663</v>
      </c>
      <c r="D485" t="s">
        <v>382</v>
      </c>
      <c r="E485" t="s">
        <v>32</v>
      </c>
      <c r="F485">
        <v>53</v>
      </c>
      <c r="G485" t="s">
        <v>73</v>
      </c>
      <c r="H485" t="s">
        <v>74</v>
      </c>
      <c r="I485" t="s">
        <v>75</v>
      </c>
      <c r="J485" t="s">
        <v>86</v>
      </c>
      <c r="K485">
        <v>1</v>
      </c>
      <c r="L485">
        <v>499</v>
      </c>
      <c r="M485" s="3">
        <v>0.2</v>
      </c>
      <c r="N485">
        <v>399.2</v>
      </c>
      <c r="O485">
        <v>300</v>
      </c>
      <c r="P485">
        <v>99.2</v>
      </c>
      <c r="Q485" t="s">
        <v>66</v>
      </c>
      <c r="R485" t="s">
        <v>51</v>
      </c>
      <c r="S485">
        <v>2</v>
      </c>
    </row>
    <row r="486" spans="1:19">
      <c r="A486" t="s">
        <v>822</v>
      </c>
      <c r="B486" s="2">
        <v>46156</v>
      </c>
      <c r="C486" t="s">
        <v>351</v>
      </c>
      <c r="D486" t="s">
        <v>352</v>
      </c>
      <c r="E486" t="s">
        <v>32</v>
      </c>
      <c r="F486">
        <v>41</v>
      </c>
      <c r="G486" t="s">
        <v>73</v>
      </c>
      <c r="H486" t="s">
        <v>74</v>
      </c>
      <c r="I486" t="s">
        <v>163</v>
      </c>
      <c r="J486" t="s">
        <v>290</v>
      </c>
      <c r="K486">
        <v>3</v>
      </c>
      <c r="L486">
        <v>1999</v>
      </c>
      <c r="M486" s="3">
        <v>0.1</v>
      </c>
      <c r="N486">
        <v>5397.3</v>
      </c>
      <c r="O486">
        <v>3600</v>
      </c>
      <c r="P486">
        <v>1797.3</v>
      </c>
      <c r="Q486" t="s">
        <v>66</v>
      </c>
      <c r="R486" t="s">
        <v>77</v>
      </c>
      <c r="S486">
        <v>1</v>
      </c>
    </row>
    <row r="487" spans="1:19">
      <c r="A487" t="s">
        <v>823</v>
      </c>
      <c r="B487" s="2">
        <v>45893</v>
      </c>
      <c r="C487" t="s">
        <v>304</v>
      </c>
      <c r="D487" t="s">
        <v>305</v>
      </c>
      <c r="E487" t="s">
        <v>32</v>
      </c>
      <c r="F487">
        <v>32</v>
      </c>
      <c r="G487" t="s">
        <v>146</v>
      </c>
      <c r="H487" t="s">
        <v>61</v>
      </c>
      <c r="I487" t="s">
        <v>25</v>
      </c>
      <c r="J487" t="s">
        <v>62</v>
      </c>
      <c r="K487">
        <v>4</v>
      </c>
      <c r="L487">
        <v>1299</v>
      </c>
      <c r="M487" s="3">
        <v>0.05</v>
      </c>
      <c r="N487">
        <v>4936.2</v>
      </c>
      <c r="O487">
        <v>3200</v>
      </c>
      <c r="P487">
        <v>1736.2</v>
      </c>
      <c r="Q487" t="s">
        <v>69</v>
      </c>
      <c r="R487" t="s">
        <v>28</v>
      </c>
      <c r="S487">
        <v>3</v>
      </c>
    </row>
    <row r="488" spans="1:19">
      <c r="A488" t="s">
        <v>824</v>
      </c>
      <c r="B488" s="2">
        <v>46028</v>
      </c>
      <c r="C488" t="s">
        <v>585</v>
      </c>
      <c r="D488" t="s">
        <v>586</v>
      </c>
      <c r="E488" t="s">
        <v>32</v>
      </c>
      <c r="F488">
        <v>31</v>
      </c>
      <c r="G488" t="s">
        <v>48</v>
      </c>
      <c r="H488" t="s">
        <v>42</v>
      </c>
      <c r="I488" t="s">
        <v>25</v>
      </c>
      <c r="J488" t="s">
        <v>62</v>
      </c>
      <c r="K488">
        <v>2</v>
      </c>
      <c r="L488">
        <v>1299</v>
      </c>
      <c r="M488" s="3">
        <v>0.05</v>
      </c>
      <c r="N488">
        <v>2468.1</v>
      </c>
      <c r="O488">
        <v>1600</v>
      </c>
      <c r="P488">
        <v>868.1</v>
      </c>
      <c r="Q488" t="s">
        <v>50</v>
      </c>
      <c r="R488" t="s">
        <v>28</v>
      </c>
      <c r="S488">
        <v>1</v>
      </c>
    </row>
    <row r="489" spans="1:19">
      <c r="A489" t="s">
        <v>825</v>
      </c>
      <c r="B489" s="2">
        <v>46151</v>
      </c>
      <c r="C489" t="s">
        <v>183</v>
      </c>
      <c r="D489" t="s">
        <v>184</v>
      </c>
      <c r="E489" t="s">
        <v>22</v>
      </c>
      <c r="F489">
        <v>43</v>
      </c>
      <c r="G489" t="s">
        <v>60</v>
      </c>
      <c r="H489" t="s">
        <v>61</v>
      </c>
      <c r="I489" t="s">
        <v>163</v>
      </c>
      <c r="J489" t="s">
        <v>234</v>
      </c>
      <c r="K489">
        <v>3</v>
      </c>
      <c r="L489">
        <v>999</v>
      </c>
      <c r="M489" s="3">
        <v>0</v>
      </c>
      <c r="N489">
        <v>2997</v>
      </c>
      <c r="O489">
        <v>1800</v>
      </c>
      <c r="P489">
        <v>1197</v>
      </c>
      <c r="Q489" t="s">
        <v>66</v>
      </c>
      <c r="R489" t="s">
        <v>28</v>
      </c>
      <c r="S489">
        <v>5</v>
      </c>
    </row>
    <row r="490" spans="1:19">
      <c r="A490" t="s">
        <v>826</v>
      </c>
      <c r="B490" s="2">
        <v>45907</v>
      </c>
      <c r="C490" t="s">
        <v>676</v>
      </c>
      <c r="D490" t="s">
        <v>293</v>
      </c>
      <c r="E490" t="s">
        <v>22</v>
      </c>
      <c r="F490">
        <v>35</v>
      </c>
      <c r="G490" t="s">
        <v>23</v>
      </c>
      <c r="H490" t="s">
        <v>24</v>
      </c>
      <c r="I490" t="s">
        <v>75</v>
      </c>
      <c r="J490" t="s">
        <v>76</v>
      </c>
      <c r="K490">
        <v>4</v>
      </c>
      <c r="L490">
        <v>399</v>
      </c>
      <c r="M490" s="3">
        <v>0</v>
      </c>
      <c r="N490">
        <v>1596</v>
      </c>
      <c r="O490">
        <v>880</v>
      </c>
      <c r="P490">
        <v>716</v>
      </c>
      <c r="Q490" t="s">
        <v>69</v>
      </c>
      <c r="R490" t="s">
        <v>28</v>
      </c>
      <c r="S490">
        <v>5</v>
      </c>
    </row>
    <row r="491" spans="1:19">
      <c r="A491" t="s">
        <v>827</v>
      </c>
      <c r="B491" s="2">
        <v>45808</v>
      </c>
      <c r="C491" t="s">
        <v>676</v>
      </c>
      <c r="D491" t="s">
        <v>293</v>
      </c>
      <c r="E491" t="s">
        <v>22</v>
      </c>
      <c r="F491">
        <v>35</v>
      </c>
      <c r="G491" t="s">
        <v>23</v>
      </c>
      <c r="H491" t="s">
        <v>24</v>
      </c>
      <c r="I491" t="s">
        <v>25</v>
      </c>
      <c r="J491" t="s">
        <v>62</v>
      </c>
      <c r="K491">
        <v>1</v>
      </c>
      <c r="L491">
        <v>1299</v>
      </c>
      <c r="M491" s="3">
        <v>0.2</v>
      </c>
      <c r="N491">
        <v>1039.2</v>
      </c>
      <c r="O491">
        <v>800</v>
      </c>
      <c r="P491">
        <v>239.2</v>
      </c>
      <c r="Q491" t="s">
        <v>69</v>
      </c>
      <c r="R491" t="s">
        <v>28</v>
      </c>
      <c r="S491">
        <v>2</v>
      </c>
    </row>
    <row r="492" spans="1:19">
      <c r="A492" t="s">
        <v>828</v>
      </c>
      <c r="B492" s="2">
        <v>45745</v>
      </c>
      <c r="C492" t="s">
        <v>351</v>
      </c>
      <c r="D492" t="s">
        <v>352</v>
      </c>
      <c r="E492" t="s">
        <v>32</v>
      </c>
      <c r="F492">
        <v>41</v>
      </c>
      <c r="G492" t="s">
        <v>73</v>
      </c>
      <c r="H492" t="s">
        <v>74</v>
      </c>
      <c r="I492" t="s">
        <v>163</v>
      </c>
      <c r="J492" t="s">
        <v>290</v>
      </c>
      <c r="K492">
        <v>1</v>
      </c>
      <c r="L492">
        <v>1999</v>
      </c>
      <c r="M492" s="3">
        <v>0.1</v>
      </c>
      <c r="N492">
        <v>1799.1</v>
      </c>
      <c r="O492">
        <v>1200</v>
      </c>
      <c r="P492">
        <v>599.1</v>
      </c>
      <c r="Q492" t="s">
        <v>27</v>
      </c>
      <c r="R492" t="s">
        <v>28</v>
      </c>
      <c r="S492">
        <v>4</v>
      </c>
    </row>
    <row r="493" spans="1:19">
      <c r="A493" t="s">
        <v>829</v>
      </c>
      <c r="B493" s="2">
        <v>45804</v>
      </c>
      <c r="C493" t="s">
        <v>148</v>
      </c>
      <c r="D493" t="s">
        <v>47</v>
      </c>
      <c r="E493" t="s">
        <v>22</v>
      </c>
      <c r="F493">
        <v>23</v>
      </c>
      <c r="G493" t="s">
        <v>93</v>
      </c>
      <c r="H493" t="s">
        <v>94</v>
      </c>
      <c r="I493" t="s">
        <v>43</v>
      </c>
      <c r="J493" t="s">
        <v>95</v>
      </c>
      <c r="K493">
        <v>2</v>
      </c>
      <c r="L493">
        <v>2499</v>
      </c>
      <c r="M493" s="3">
        <v>0.15</v>
      </c>
      <c r="N493">
        <v>4248.3</v>
      </c>
      <c r="O493">
        <v>3000</v>
      </c>
      <c r="P493">
        <v>1248.3</v>
      </c>
      <c r="Q493" t="s">
        <v>50</v>
      </c>
      <c r="R493" t="s">
        <v>137</v>
      </c>
      <c r="S493">
        <v>2</v>
      </c>
    </row>
    <row r="494" spans="1:19">
      <c r="A494" t="s">
        <v>830</v>
      </c>
      <c r="B494" s="2">
        <v>46122</v>
      </c>
      <c r="C494" t="s">
        <v>150</v>
      </c>
      <c r="D494" t="s">
        <v>151</v>
      </c>
      <c r="E494" t="s">
        <v>22</v>
      </c>
      <c r="F494">
        <v>33</v>
      </c>
      <c r="G494" t="s">
        <v>81</v>
      </c>
      <c r="H494" t="s">
        <v>82</v>
      </c>
      <c r="I494" t="s">
        <v>43</v>
      </c>
      <c r="J494" t="s">
        <v>197</v>
      </c>
      <c r="K494">
        <v>2</v>
      </c>
      <c r="L494">
        <v>1799</v>
      </c>
      <c r="M494" s="3">
        <v>0.1</v>
      </c>
      <c r="N494">
        <v>3238.2</v>
      </c>
      <c r="O494">
        <v>2100</v>
      </c>
      <c r="P494">
        <v>1138.2</v>
      </c>
      <c r="Q494" t="s">
        <v>50</v>
      </c>
      <c r="R494" t="s">
        <v>28</v>
      </c>
      <c r="S494">
        <v>2</v>
      </c>
    </row>
    <row r="495" spans="1:19">
      <c r="A495" t="s">
        <v>831</v>
      </c>
      <c r="B495" s="2">
        <v>45674</v>
      </c>
      <c r="C495" t="s">
        <v>516</v>
      </c>
      <c r="D495" t="s">
        <v>449</v>
      </c>
      <c r="E495" t="s">
        <v>22</v>
      </c>
      <c r="F495">
        <v>45</v>
      </c>
      <c r="G495" t="s">
        <v>41</v>
      </c>
      <c r="H495" t="s">
        <v>42</v>
      </c>
      <c r="I495" t="s">
        <v>163</v>
      </c>
      <c r="J495" t="s">
        <v>290</v>
      </c>
      <c r="K495">
        <v>2</v>
      </c>
      <c r="L495">
        <v>1999</v>
      </c>
      <c r="M495" s="3">
        <v>0</v>
      </c>
      <c r="N495">
        <v>3998</v>
      </c>
      <c r="O495">
        <v>2400</v>
      </c>
      <c r="P495">
        <v>1598</v>
      </c>
      <c r="Q495" t="s">
        <v>27</v>
      </c>
      <c r="R495" t="s">
        <v>28</v>
      </c>
      <c r="S495">
        <v>5</v>
      </c>
    </row>
    <row r="496" spans="1:19">
      <c r="A496" t="s">
        <v>832</v>
      </c>
      <c r="B496" s="2">
        <v>46145</v>
      </c>
      <c r="C496" t="s">
        <v>475</v>
      </c>
      <c r="D496" t="s">
        <v>476</v>
      </c>
      <c r="E496" t="s">
        <v>32</v>
      </c>
      <c r="F496">
        <v>51</v>
      </c>
      <c r="G496" t="s">
        <v>141</v>
      </c>
      <c r="H496" t="s">
        <v>142</v>
      </c>
      <c r="I496" t="s">
        <v>25</v>
      </c>
      <c r="J496" t="s">
        <v>62</v>
      </c>
      <c r="K496">
        <v>1</v>
      </c>
      <c r="L496">
        <v>1299</v>
      </c>
      <c r="M496" s="3">
        <v>0.05</v>
      </c>
      <c r="N496">
        <v>1234.05</v>
      </c>
      <c r="O496">
        <v>800</v>
      </c>
      <c r="P496">
        <v>434.05</v>
      </c>
      <c r="Q496" t="s">
        <v>50</v>
      </c>
      <c r="R496" t="s">
        <v>28</v>
      </c>
      <c r="S496">
        <v>5</v>
      </c>
    </row>
    <row r="497" spans="1:19">
      <c r="A497" t="s">
        <v>833</v>
      </c>
      <c r="B497" s="2">
        <v>45791</v>
      </c>
      <c r="C497" t="s">
        <v>304</v>
      </c>
      <c r="D497" t="s">
        <v>305</v>
      </c>
      <c r="E497" t="s">
        <v>32</v>
      </c>
      <c r="F497">
        <v>32</v>
      </c>
      <c r="G497" t="s">
        <v>146</v>
      </c>
      <c r="H497" t="s">
        <v>61</v>
      </c>
      <c r="I497" t="s">
        <v>25</v>
      </c>
      <c r="J497" t="s">
        <v>56</v>
      </c>
      <c r="K497">
        <v>1</v>
      </c>
      <c r="L497">
        <v>899</v>
      </c>
      <c r="M497" s="3">
        <v>0.15</v>
      </c>
      <c r="N497">
        <v>764.15</v>
      </c>
      <c r="O497">
        <v>550</v>
      </c>
      <c r="P497">
        <v>214.15</v>
      </c>
      <c r="Q497" t="s">
        <v>50</v>
      </c>
      <c r="R497" t="s">
        <v>28</v>
      </c>
      <c r="S497">
        <v>1</v>
      </c>
    </row>
    <row r="498" spans="1:19">
      <c r="A498" t="s">
        <v>834</v>
      </c>
      <c r="B498" s="2">
        <v>45702</v>
      </c>
      <c r="C498" t="s">
        <v>267</v>
      </c>
      <c r="D498" t="s">
        <v>268</v>
      </c>
      <c r="E498" t="s">
        <v>22</v>
      </c>
      <c r="F498">
        <v>35</v>
      </c>
      <c r="G498" t="s">
        <v>141</v>
      </c>
      <c r="H498" t="s">
        <v>142</v>
      </c>
      <c r="I498" t="s">
        <v>35</v>
      </c>
      <c r="J498" t="s">
        <v>108</v>
      </c>
      <c r="K498">
        <v>4</v>
      </c>
      <c r="L498">
        <v>699</v>
      </c>
      <c r="M498" s="3">
        <v>0.1</v>
      </c>
      <c r="N498">
        <v>2516.4</v>
      </c>
      <c r="O498">
        <v>1520</v>
      </c>
      <c r="P498">
        <v>996.4</v>
      </c>
      <c r="Q498" t="s">
        <v>50</v>
      </c>
      <c r="R498" t="s">
        <v>28</v>
      </c>
      <c r="S498">
        <v>4</v>
      </c>
    </row>
    <row r="499" spans="1:19">
      <c r="A499" t="s">
        <v>835</v>
      </c>
      <c r="B499" s="2">
        <v>45795</v>
      </c>
      <c r="C499" t="s">
        <v>192</v>
      </c>
      <c r="D499" t="s">
        <v>193</v>
      </c>
      <c r="E499" t="s">
        <v>32</v>
      </c>
      <c r="F499">
        <v>47</v>
      </c>
      <c r="G499" t="s">
        <v>93</v>
      </c>
      <c r="H499" t="s">
        <v>94</v>
      </c>
      <c r="I499" t="s">
        <v>163</v>
      </c>
      <c r="J499" t="s">
        <v>214</v>
      </c>
      <c r="K499">
        <v>1</v>
      </c>
      <c r="L499">
        <v>1499</v>
      </c>
      <c r="M499" s="3">
        <v>0.15</v>
      </c>
      <c r="N499">
        <v>1274.1500000000001</v>
      </c>
      <c r="O499">
        <v>900</v>
      </c>
      <c r="P499">
        <v>374.15</v>
      </c>
      <c r="Q499" t="s">
        <v>37</v>
      </c>
      <c r="R499" t="s">
        <v>28</v>
      </c>
      <c r="S499">
        <v>2</v>
      </c>
    </row>
    <row r="500" spans="1:19">
      <c r="A500" t="s">
        <v>836</v>
      </c>
      <c r="B500" s="2">
        <v>45851</v>
      </c>
      <c r="C500" t="s">
        <v>801</v>
      </c>
      <c r="D500" t="s">
        <v>225</v>
      </c>
      <c r="E500" t="s">
        <v>32</v>
      </c>
      <c r="F500">
        <v>55</v>
      </c>
      <c r="G500" t="s">
        <v>41</v>
      </c>
      <c r="H500" t="s">
        <v>42</v>
      </c>
      <c r="I500" t="s">
        <v>43</v>
      </c>
      <c r="J500" t="s">
        <v>44</v>
      </c>
      <c r="K500">
        <v>4</v>
      </c>
      <c r="L500">
        <v>1599</v>
      </c>
      <c r="M500" s="3">
        <v>0.1</v>
      </c>
      <c r="N500">
        <v>5756.4</v>
      </c>
      <c r="O500">
        <v>3800</v>
      </c>
      <c r="P500">
        <v>1956.4</v>
      </c>
      <c r="Q500" t="s">
        <v>69</v>
      </c>
      <c r="R500" t="s">
        <v>28</v>
      </c>
      <c r="S500">
        <v>1</v>
      </c>
    </row>
    <row r="501" spans="1:19">
      <c r="A501" t="s">
        <v>837</v>
      </c>
      <c r="B501" s="2">
        <v>45665</v>
      </c>
      <c r="C501" t="s">
        <v>71</v>
      </c>
      <c r="D501" t="s">
        <v>72</v>
      </c>
      <c r="E501" t="s">
        <v>32</v>
      </c>
      <c r="F501">
        <v>53</v>
      </c>
      <c r="G501" t="s">
        <v>73</v>
      </c>
      <c r="H501" t="s">
        <v>74</v>
      </c>
      <c r="I501" t="s">
        <v>35</v>
      </c>
      <c r="J501" t="s">
        <v>108</v>
      </c>
      <c r="K501">
        <v>1</v>
      </c>
      <c r="L501">
        <v>699</v>
      </c>
      <c r="M501" s="3">
        <v>0.2</v>
      </c>
      <c r="N501">
        <v>559.20000000000005</v>
      </c>
      <c r="O501">
        <v>380</v>
      </c>
      <c r="P501">
        <v>179.2</v>
      </c>
      <c r="Q501" t="s">
        <v>66</v>
      </c>
      <c r="R501" t="s">
        <v>28</v>
      </c>
      <c r="S501">
        <v>3</v>
      </c>
    </row>
    <row r="502" spans="1:19">
      <c r="A502" t="s">
        <v>838</v>
      </c>
      <c r="B502" s="2">
        <v>46094</v>
      </c>
      <c r="C502" t="s">
        <v>568</v>
      </c>
      <c r="D502" t="s">
        <v>569</v>
      </c>
      <c r="E502" t="s">
        <v>22</v>
      </c>
      <c r="F502">
        <v>18</v>
      </c>
      <c r="G502" t="s">
        <v>48</v>
      </c>
      <c r="H502" t="s">
        <v>42</v>
      </c>
      <c r="I502" t="s">
        <v>163</v>
      </c>
      <c r="J502" t="s">
        <v>214</v>
      </c>
      <c r="K502">
        <v>1</v>
      </c>
      <c r="L502">
        <v>1499</v>
      </c>
      <c r="M502" s="3">
        <v>0.05</v>
      </c>
      <c r="N502">
        <v>1424.05</v>
      </c>
      <c r="O502">
        <v>900</v>
      </c>
      <c r="P502">
        <v>524.04999999999995</v>
      </c>
      <c r="Q502" t="s">
        <v>50</v>
      </c>
      <c r="R502" t="s">
        <v>28</v>
      </c>
      <c r="S502">
        <v>5</v>
      </c>
    </row>
    <row r="503" spans="1:19">
      <c r="A503" t="s">
        <v>839</v>
      </c>
      <c r="B503" s="2">
        <v>45940</v>
      </c>
      <c r="C503" t="s">
        <v>100</v>
      </c>
      <c r="D503" t="s">
        <v>101</v>
      </c>
      <c r="E503" t="s">
        <v>32</v>
      </c>
      <c r="F503">
        <v>50</v>
      </c>
      <c r="G503" t="s">
        <v>55</v>
      </c>
      <c r="H503" t="s">
        <v>34</v>
      </c>
      <c r="I503" t="s">
        <v>75</v>
      </c>
      <c r="J503" t="s">
        <v>86</v>
      </c>
      <c r="K503">
        <v>3</v>
      </c>
      <c r="L503">
        <v>499</v>
      </c>
      <c r="M503" s="3">
        <v>0.2</v>
      </c>
      <c r="N503">
        <v>1197.5999999999999</v>
      </c>
      <c r="O503">
        <v>900</v>
      </c>
      <c r="P503">
        <v>297.60000000000002</v>
      </c>
      <c r="Q503" t="s">
        <v>66</v>
      </c>
      <c r="R503" t="s">
        <v>28</v>
      </c>
      <c r="S503">
        <v>4</v>
      </c>
    </row>
    <row r="504" spans="1:19">
      <c r="A504" t="s">
        <v>840</v>
      </c>
      <c r="B504" s="2">
        <v>46037</v>
      </c>
      <c r="C504" t="s">
        <v>705</v>
      </c>
      <c r="D504" t="s">
        <v>98</v>
      </c>
      <c r="E504" t="s">
        <v>32</v>
      </c>
      <c r="F504">
        <v>47</v>
      </c>
      <c r="G504" t="s">
        <v>141</v>
      </c>
      <c r="H504" t="s">
        <v>142</v>
      </c>
      <c r="I504" t="s">
        <v>35</v>
      </c>
      <c r="J504" t="s">
        <v>126</v>
      </c>
      <c r="K504">
        <v>4</v>
      </c>
      <c r="L504">
        <v>1499</v>
      </c>
      <c r="M504" s="3">
        <v>0.05</v>
      </c>
      <c r="N504">
        <v>5696.2</v>
      </c>
      <c r="O504">
        <v>3400</v>
      </c>
      <c r="P504">
        <v>2296.1999999999998</v>
      </c>
      <c r="Q504" t="s">
        <v>50</v>
      </c>
      <c r="R504" t="s">
        <v>28</v>
      </c>
      <c r="S504">
        <v>3</v>
      </c>
    </row>
    <row r="505" spans="1:19">
      <c r="A505" t="s">
        <v>841</v>
      </c>
      <c r="B505" s="2">
        <v>45799</v>
      </c>
      <c r="C505" t="s">
        <v>103</v>
      </c>
      <c r="D505" t="s">
        <v>104</v>
      </c>
      <c r="E505" t="s">
        <v>32</v>
      </c>
      <c r="F505">
        <v>27</v>
      </c>
      <c r="G505" t="s">
        <v>105</v>
      </c>
      <c r="H505" t="s">
        <v>105</v>
      </c>
      <c r="I505" t="s">
        <v>75</v>
      </c>
      <c r="J505" t="s">
        <v>86</v>
      </c>
      <c r="K505">
        <v>3</v>
      </c>
      <c r="L505">
        <v>499</v>
      </c>
      <c r="M505" s="3">
        <v>0.15</v>
      </c>
      <c r="N505">
        <v>1272.45</v>
      </c>
      <c r="O505">
        <v>900</v>
      </c>
      <c r="P505">
        <v>372.45</v>
      </c>
      <c r="Q505" t="s">
        <v>69</v>
      </c>
      <c r="R505" t="s">
        <v>28</v>
      </c>
      <c r="S505">
        <v>4</v>
      </c>
    </row>
    <row r="506" spans="1:19">
      <c r="A506" t="s">
        <v>842</v>
      </c>
      <c r="B506" s="2">
        <v>46068</v>
      </c>
      <c r="C506" t="s">
        <v>676</v>
      </c>
      <c r="D506" t="s">
        <v>293</v>
      </c>
      <c r="E506" t="s">
        <v>22</v>
      </c>
      <c r="F506">
        <v>35</v>
      </c>
      <c r="G506" t="s">
        <v>23</v>
      </c>
      <c r="H506" t="s">
        <v>24</v>
      </c>
      <c r="I506" t="s">
        <v>25</v>
      </c>
      <c r="J506" t="s">
        <v>56</v>
      </c>
      <c r="K506">
        <v>2</v>
      </c>
      <c r="L506">
        <v>899</v>
      </c>
      <c r="M506" s="3">
        <v>0.2</v>
      </c>
      <c r="N506">
        <v>1438.4</v>
      </c>
      <c r="O506">
        <v>1100</v>
      </c>
      <c r="P506">
        <v>338.4</v>
      </c>
      <c r="Q506" t="s">
        <v>37</v>
      </c>
      <c r="R506" t="s">
        <v>137</v>
      </c>
      <c r="S506">
        <v>1</v>
      </c>
    </row>
    <row r="507" spans="1:19">
      <c r="A507" t="s">
        <v>843</v>
      </c>
      <c r="B507" s="2">
        <v>45806</v>
      </c>
      <c r="C507" t="s">
        <v>676</v>
      </c>
      <c r="D507" t="s">
        <v>293</v>
      </c>
      <c r="E507" t="s">
        <v>22</v>
      </c>
      <c r="F507">
        <v>35</v>
      </c>
      <c r="G507" t="s">
        <v>23</v>
      </c>
      <c r="H507" t="s">
        <v>24</v>
      </c>
      <c r="I507" t="s">
        <v>163</v>
      </c>
      <c r="J507" t="s">
        <v>290</v>
      </c>
      <c r="K507">
        <v>1</v>
      </c>
      <c r="L507">
        <v>1999</v>
      </c>
      <c r="M507" s="3">
        <v>0</v>
      </c>
      <c r="N507">
        <v>1999</v>
      </c>
      <c r="O507">
        <v>1200</v>
      </c>
      <c r="P507">
        <v>799</v>
      </c>
      <c r="Q507" t="s">
        <v>66</v>
      </c>
      <c r="R507" t="s">
        <v>77</v>
      </c>
      <c r="S507">
        <v>4</v>
      </c>
    </row>
    <row r="508" spans="1:19">
      <c r="A508" t="s">
        <v>844</v>
      </c>
      <c r="B508" s="2">
        <v>46037</v>
      </c>
      <c r="C508" t="s">
        <v>692</v>
      </c>
      <c r="D508" t="s">
        <v>343</v>
      </c>
      <c r="E508" t="s">
        <v>22</v>
      </c>
      <c r="F508">
        <v>50</v>
      </c>
      <c r="G508" t="s">
        <v>48</v>
      </c>
      <c r="H508" t="s">
        <v>42</v>
      </c>
      <c r="I508" t="s">
        <v>25</v>
      </c>
      <c r="J508" t="s">
        <v>26</v>
      </c>
      <c r="K508">
        <v>3</v>
      </c>
      <c r="L508">
        <v>2499</v>
      </c>
      <c r="M508" s="3">
        <v>0.05</v>
      </c>
      <c r="N508">
        <v>7122.15</v>
      </c>
      <c r="O508">
        <v>4800</v>
      </c>
      <c r="P508">
        <v>2322.15</v>
      </c>
      <c r="Q508" t="s">
        <v>69</v>
      </c>
      <c r="R508" t="s">
        <v>28</v>
      </c>
      <c r="S508">
        <v>4</v>
      </c>
    </row>
    <row r="509" spans="1:19">
      <c r="A509" t="s">
        <v>845</v>
      </c>
      <c r="B509" s="2">
        <v>45716</v>
      </c>
      <c r="C509" t="s">
        <v>124</v>
      </c>
      <c r="D509" t="s">
        <v>125</v>
      </c>
      <c r="E509" t="s">
        <v>32</v>
      </c>
      <c r="F509">
        <v>22</v>
      </c>
      <c r="G509" t="s">
        <v>48</v>
      </c>
      <c r="H509" t="s">
        <v>42</v>
      </c>
      <c r="I509" t="s">
        <v>75</v>
      </c>
      <c r="J509" t="s">
        <v>106</v>
      </c>
      <c r="K509">
        <v>3</v>
      </c>
      <c r="L509">
        <v>899</v>
      </c>
      <c r="M509" s="3">
        <v>0.2</v>
      </c>
      <c r="N509">
        <v>2157.6</v>
      </c>
      <c r="O509">
        <v>1800</v>
      </c>
      <c r="P509">
        <v>357.6</v>
      </c>
      <c r="Q509" t="s">
        <v>27</v>
      </c>
      <c r="R509" t="s">
        <v>28</v>
      </c>
      <c r="S509">
        <v>4</v>
      </c>
    </row>
    <row r="510" spans="1:19">
      <c r="A510" t="s">
        <v>846</v>
      </c>
      <c r="B510" s="2">
        <v>45692</v>
      </c>
      <c r="C510" t="s">
        <v>847</v>
      </c>
      <c r="D510" t="s">
        <v>135</v>
      </c>
      <c r="E510" t="s">
        <v>32</v>
      </c>
      <c r="F510">
        <v>20</v>
      </c>
      <c r="G510" t="s">
        <v>81</v>
      </c>
      <c r="H510" t="s">
        <v>82</v>
      </c>
      <c r="I510" t="s">
        <v>43</v>
      </c>
      <c r="J510" t="s">
        <v>49</v>
      </c>
      <c r="K510">
        <v>3</v>
      </c>
      <c r="L510">
        <v>799</v>
      </c>
      <c r="M510" s="3">
        <v>0.05</v>
      </c>
      <c r="N510">
        <v>2277.15</v>
      </c>
      <c r="O510">
        <v>1350</v>
      </c>
      <c r="P510">
        <v>927.15</v>
      </c>
      <c r="Q510" t="s">
        <v>50</v>
      </c>
      <c r="R510" t="s">
        <v>28</v>
      </c>
      <c r="S510">
        <v>2</v>
      </c>
    </row>
    <row r="511" spans="1:19">
      <c r="A511" t="s">
        <v>848</v>
      </c>
      <c r="B511" s="2">
        <v>45902</v>
      </c>
      <c r="C511" t="s">
        <v>407</v>
      </c>
      <c r="D511" t="s">
        <v>408</v>
      </c>
      <c r="E511" t="s">
        <v>32</v>
      </c>
      <c r="F511">
        <v>44</v>
      </c>
      <c r="G511" t="s">
        <v>48</v>
      </c>
      <c r="H511" t="s">
        <v>42</v>
      </c>
      <c r="I511" t="s">
        <v>117</v>
      </c>
      <c r="J511" t="s">
        <v>118</v>
      </c>
      <c r="K511">
        <v>1</v>
      </c>
      <c r="L511">
        <v>999</v>
      </c>
      <c r="M511" s="3">
        <v>0.1</v>
      </c>
      <c r="N511">
        <v>899.1</v>
      </c>
      <c r="O511">
        <v>550</v>
      </c>
      <c r="P511">
        <v>349.1</v>
      </c>
      <c r="Q511" t="s">
        <v>69</v>
      </c>
      <c r="R511" t="s">
        <v>51</v>
      </c>
      <c r="S511">
        <v>1</v>
      </c>
    </row>
    <row r="512" spans="1:19">
      <c r="A512" t="s">
        <v>849</v>
      </c>
      <c r="B512" s="2">
        <v>46073</v>
      </c>
      <c r="C512" t="s">
        <v>648</v>
      </c>
      <c r="D512" t="s">
        <v>649</v>
      </c>
      <c r="E512" t="s">
        <v>32</v>
      </c>
      <c r="F512">
        <v>34</v>
      </c>
      <c r="G512" t="s">
        <v>23</v>
      </c>
      <c r="H512" t="s">
        <v>24</v>
      </c>
      <c r="I512" t="s">
        <v>163</v>
      </c>
      <c r="J512" t="s">
        <v>290</v>
      </c>
      <c r="K512">
        <v>3</v>
      </c>
      <c r="L512">
        <v>1999</v>
      </c>
      <c r="M512" s="3">
        <v>0.15</v>
      </c>
      <c r="N512">
        <v>5097.45</v>
      </c>
      <c r="O512">
        <v>3600</v>
      </c>
      <c r="P512">
        <v>1497.45</v>
      </c>
      <c r="Q512" t="s">
        <v>50</v>
      </c>
      <c r="R512" t="s">
        <v>28</v>
      </c>
      <c r="S512">
        <v>1</v>
      </c>
    </row>
    <row r="513" spans="1:19">
      <c r="A513" t="s">
        <v>850</v>
      </c>
      <c r="B513" s="2">
        <v>46254</v>
      </c>
      <c r="C513" t="s">
        <v>670</v>
      </c>
      <c r="D513" t="s">
        <v>671</v>
      </c>
      <c r="E513" t="s">
        <v>22</v>
      </c>
      <c r="F513">
        <v>38</v>
      </c>
      <c r="G513" t="s">
        <v>180</v>
      </c>
      <c r="H513" t="s">
        <v>181</v>
      </c>
      <c r="I513" t="s">
        <v>25</v>
      </c>
      <c r="J513" t="s">
        <v>26</v>
      </c>
      <c r="K513">
        <v>3</v>
      </c>
      <c r="L513">
        <v>2499</v>
      </c>
      <c r="M513" s="3">
        <v>0.2</v>
      </c>
      <c r="N513">
        <v>5997.6</v>
      </c>
      <c r="O513">
        <v>4800</v>
      </c>
      <c r="P513">
        <v>1197.5999999999999</v>
      </c>
      <c r="Q513" t="s">
        <v>37</v>
      </c>
      <c r="R513" t="s">
        <v>28</v>
      </c>
      <c r="S513">
        <v>3</v>
      </c>
    </row>
    <row r="514" spans="1:19">
      <c r="A514" t="s">
        <v>851</v>
      </c>
      <c r="B514" s="2">
        <v>46071</v>
      </c>
      <c r="C514" t="s">
        <v>479</v>
      </c>
      <c r="D514" t="s">
        <v>480</v>
      </c>
      <c r="E514" t="s">
        <v>22</v>
      </c>
      <c r="F514">
        <v>29</v>
      </c>
      <c r="G514" t="s">
        <v>146</v>
      </c>
      <c r="H514" t="s">
        <v>61</v>
      </c>
      <c r="I514" t="s">
        <v>75</v>
      </c>
      <c r="J514" t="s">
        <v>106</v>
      </c>
      <c r="K514">
        <v>2</v>
      </c>
      <c r="L514">
        <v>899</v>
      </c>
      <c r="M514" s="3">
        <v>0.15</v>
      </c>
      <c r="N514">
        <v>1528.3</v>
      </c>
      <c r="O514">
        <v>1200</v>
      </c>
      <c r="P514">
        <v>328.3</v>
      </c>
      <c r="Q514" t="s">
        <v>50</v>
      </c>
      <c r="R514" t="s">
        <v>28</v>
      </c>
      <c r="S514">
        <v>2</v>
      </c>
    </row>
    <row r="515" spans="1:19">
      <c r="A515" t="s">
        <v>852</v>
      </c>
      <c r="B515" s="2">
        <v>45732</v>
      </c>
      <c r="C515" t="s">
        <v>568</v>
      </c>
      <c r="D515" t="s">
        <v>569</v>
      </c>
      <c r="E515" t="s">
        <v>22</v>
      </c>
      <c r="F515">
        <v>18</v>
      </c>
      <c r="G515" t="s">
        <v>48</v>
      </c>
      <c r="H515" t="s">
        <v>42</v>
      </c>
      <c r="I515" t="s">
        <v>35</v>
      </c>
      <c r="J515" t="s">
        <v>108</v>
      </c>
      <c r="K515">
        <v>1</v>
      </c>
      <c r="L515">
        <v>699</v>
      </c>
      <c r="M515" s="3">
        <v>0.2</v>
      </c>
      <c r="N515">
        <v>559.20000000000005</v>
      </c>
      <c r="O515">
        <v>380</v>
      </c>
      <c r="P515">
        <v>179.2</v>
      </c>
      <c r="Q515" t="s">
        <v>50</v>
      </c>
      <c r="R515" t="s">
        <v>28</v>
      </c>
      <c r="S515">
        <v>1</v>
      </c>
    </row>
    <row r="516" spans="1:19">
      <c r="A516" t="s">
        <v>853</v>
      </c>
      <c r="B516" s="2">
        <v>46044</v>
      </c>
      <c r="C516" t="s">
        <v>365</v>
      </c>
      <c r="D516" t="s">
        <v>366</v>
      </c>
      <c r="E516" t="s">
        <v>22</v>
      </c>
      <c r="F516">
        <v>54</v>
      </c>
      <c r="G516" t="s">
        <v>93</v>
      </c>
      <c r="H516" t="s">
        <v>94</v>
      </c>
      <c r="I516" t="s">
        <v>43</v>
      </c>
      <c r="J516" t="s">
        <v>197</v>
      </c>
      <c r="K516">
        <v>3</v>
      </c>
      <c r="L516">
        <v>1799</v>
      </c>
      <c r="M516" s="3">
        <v>0.15</v>
      </c>
      <c r="N516">
        <v>4587.45</v>
      </c>
      <c r="O516">
        <v>3150</v>
      </c>
      <c r="P516">
        <v>1437.45</v>
      </c>
      <c r="Q516" t="s">
        <v>50</v>
      </c>
      <c r="R516" t="s">
        <v>28</v>
      </c>
      <c r="S516">
        <v>2</v>
      </c>
    </row>
    <row r="517" spans="1:19">
      <c r="A517" t="s">
        <v>854</v>
      </c>
      <c r="B517" s="2">
        <v>45686</v>
      </c>
      <c r="C517" t="s">
        <v>175</v>
      </c>
      <c r="D517" t="s">
        <v>176</v>
      </c>
      <c r="E517" t="s">
        <v>32</v>
      </c>
      <c r="F517">
        <v>29</v>
      </c>
      <c r="G517" t="s">
        <v>60</v>
      </c>
      <c r="H517" t="s">
        <v>61</v>
      </c>
      <c r="I517" t="s">
        <v>35</v>
      </c>
      <c r="J517" t="s">
        <v>136</v>
      </c>
      <c r="K517">
        <v>4</v>
      </c>
      <c r="L517">
        <v>799</v>
      </c>
      <c r="M517" s="3">
        <v>0.2</v>
      </c>
      <c r="N517">
        <v>2556.8000000000002</v>
      </c>
      <c r="O517">
        <v>1800</v>
      </c>
      <c r="P517">
        <v>756.8</v>
      </c>
      <c r="Q517" t="s">
        <v>66</v>
      </c>
      <c r="R517" t="s">
        <v>28</v>
      </c>
      <c r="S517">
        <v>1</v>
      </c>
    </row>
    <row r="518" spans="1:19">
      <c r="A518" t="s">
        <v>855</v>
      </c>
      <c r="B518" s="2">
        <v>45981</v>
      </c>
      <c r="C518" t="s">
        <v>192</v>
      </c>
      <c r="D518" t="s">
        <v>193</v>
      </c>
      <c r="E518" t="s">
        <v>32</v>
      </c>
      <c r="F518">
        <v>47</v>
      </c>
      <c r="G518" t="s">
        <v>93</v>
      </c>
      <c r="H518" t="s">
        <v>94</v>
      </c>
      <c r="I518" t="s">
        <v>75</v>
      </c>
      <c r="J518" t="s">
        <v>76</v>
      </c>
      <c r="K518">
        <v>2</v>
      </c>
      <c r="L518">
        <v>399</v>
      </c>
      <c r="M518" s="3">
        <v>0.05</v>
      </c>
      <c r="N518">
        <v>758.1</v>
      </c>
      <c r="O518">
        <v>440</v>
      </c>
      <c r="P518">
        <v>318.10000000000002</v>
      </c>
      <c r="Q518" t="s">
        <v>66</v>
      </c>
      <c r="R518" t="s">
        <v>51</v>
      </c>
      <c r="S518">
        <v>5</v>
      </c>
    </row>
    <row r="519" spans="1:19">
      <c r="A519" t="s">
        <v>856</v>
      </c>
      <c r="B519" s="2">
        <v>45952</v>
      </c>
      <c r="C519" t="s">
        <v>467</v>
      </c>
      <c r="D519" t="s">
        <v>322</v>
      </c>
      <c r="E519" t="s">
        <v>32</v>
      </c>
      <c r="F519">
        <v>41</v>
      </c>
      <c r="G519" t="s">
        <v>55</v>
      </c>
      <c r="H519" t="s">
        <v>34</v>
      </c>
      <c r="I519" t="s">
        <v>25</v>
      </c>
      <c r="J519" t="s">
        <v>156</v>
      </c>
      <c r="K519">
        <v>3</v>
      </c>
      <c r="L519">
        <v>1999</v>
      </c>
      <c r="M519" s="3">
        <v>0.05</v>
      </c>
      <c r="N519">
        <v>5697.15</v>
      </c>
      <c r="O519">
        <v>3900</v>
      </c>
      <c r="P519">
        <v>1797.15</v>
      </c>
      <c r="Q519" t="s">
        <v>69</v>
      </c>
      <c r="R519" t="s">
        <v>28</v>
      </c>
      <c r="S519">
        <v>3</v>
      </c>
    </row>
    <row r="520" spans="1:19">
      <c r="A520" t="s">
        <v>857</v>
      </c>
      <c r="B520" s="2">
        <v>45979</v>
      </c>
      <c r="C520" t="s">
        <v>91</v>
      </c>
      <c r="D520" t="s">
        <v>92</v>
      </c>
      <c r="E520" t="s">
        <v>32</v>
      </c>
      <c r="F520">
        <v>43</v>
      </c>
      <c r="G520" t="s">
        <v>93</v>
      </c>
      <c r="H520" t="s">
        <v>94</v>
      </c>
      <c r="I520" t="s">
        <v>35</v>
      </c>
      <c r="J520" t="s">
        <v>126</v>
      </c>
      <c r="K520">
        <v>2</v>
      </c>
      <c r="L520">
        <v>1499</v>
      </c>
      <c r="M520" s="3">
        <v>0.15</v>
      </c>
      <c r="N520">
        <v>2548.3000000000002</v>
      </c>
      <c r="O520">
        <v>1700</v>
      </c>
      <c r="P520">
        <v>848.3</v>
      </c>
      <c r="Q520" t="s">
        <v>37</v>
      </c>
      <c r="R520" t="s">
        <v>28</v>
      </c>
      <c r="S520">
        <v>5</v>
      </c>
    </row>
    <row r="521" spans="1:19">
      <c r="A521" t="s">
        <v>858</v>
      </c>
      <c r="B521" s="2">
        <v>45862</v>
      </c>
      <c r="C521" t="s">
        <v>154</v>
      </c>
      <c r="D521" t="s">
        <v>155</v>
      </c>
      <c r="E521" t="s">
        <v>22</v>
      </c>
      <c r="F521">
        <v>53</v>
      </c>
      <c r="G521" t="s">
        <v>105</v>
      </c>
      <c r="H521" t="s">
        <v>105</v>
      </c>
      <c r="I521" t="s">
        <v>43</v>
      </c>
      <c r="J521" t="s">
        <v>95</v>
      </c>
      <c r="K521">
        <v>2</v>
      </c>
      <c r="L521">
        <v>2499</v>
      </c>
      <c r="M521" s="3">
        <v>0.15</v>
      </c>
      <c r="N521">
        <v>4248.3</v>
      </c>
      <c r="O521">
        <v>3000</v>
      </c>
      <c r="P521">
        <v>1248.3</v>
      </c>
      <c r="Q521" t="s">
        <v>27</v>
      </c>
      <c r="R521" t="s">
        <v>28</v>
      </c>
      <c r="S521">
        <v>3</v>
      </c>
    </row>
    <row r="522" spans="1:19">
      <c r="A522" t="s">
        <v>859</v>
      </c>
      <c r="B522" s="2">
        <v>46022</v>
      </c>
      <c r="C522" t="s">
        <v>413</v>
      </c>
      <c r="D522" t="s">
        <v>414</v>
      </c>
      <c r="E522" t="s">
        <v>22</v>
      </c>
      <c r="F522">
        <v>42</v>
      </c>
      <c r="G522" t="s">
        <v>33</v>
      </c>
      <c r="H522" t="s">
        <v>34</v>
      </c>
      <c r="I522" t="s">
        <v>43</v>
      </c>
      <c r="J522" t="s">
        <v>281</v>
      </c>
      <c r="K522">
        <v>2</v>
      </c>
      <c r="L522">
        <v>2999</v>
      </c>
      <c r="M522" s="3">
        <v>0.05</v>
      </c>
      <c r="N522">
        <v>5698.1</v>
      </c>
      <c r="O522">
        <v>3600</v>
      </c>
      <c r="P522">
        <v>2098.1</v>
      </c>
      <c r="Q522" t="s">
        <v>27</v>
      </c>
      <c r="R522" t="s">
        <v>28</v>
      </c>
      <c r="S522">
        <v>1</v>
      </c>
    </row>
    <row r="523" spans="1:19">
      <c r="A523" t="s">
        <v>860</v>
      </c>
      <c r="B523" s="2">
        <v>45664</v>
      </c>
      <c r="C523" t="s">
        <v>295</v>
      </c>
      <c r="D523" t="s">
        <v>296</v>
      </c>
      <c r="E523" t="s">
        <v>22</v>
      </c>
      <c r="F523">
        <v>33</v>
      </c>
      <c r="G523" t="s">
        <v>41</v>
      </c>
      <c r="H523" t="s">
        <v>42</v>
      </c>
      <c r="I523" t="s">
        <v>117</v>
      </c>
      <c r="J523" t="s">
        <v>118</v>
      </c>
      <c r="K523">
        <v>4</v>
      </c>
      <c r="L523">
        <v>999</v>
      </c>
      <c r="M523" s="3">
        <v>0.2</v>
      </c>
      <c r="N523">
        <v>3196.8</v>
      </c>
      <c r="O523">
        <v>2200</v>
      </c>
      <c r="P523">
        <v>996.8</v>
      </c>
      <c r="Q523" t="s">
        <v>50</v>
      </c>
      <c r="R523" t="s">
        <v>51</v>
      </c>
      <c r="S523">
        <v>4</v>
      </c>
    </row>
    <row r="524" spans="1:19">
      <c r="A524" t="s">
        <v>861</v>
      </c>
      <c r="B524" s="2">
        <v>46246</v>
      </c>
      <c r="C524" t="s">
        <v>862</v>
      </c>
      <c r="D524" t="s">
        <v>863</v>
      </c>
      <c r="E524" t="s">
        <v>32</v>
      </c>
      <c r="F524">
        <v>53</v>
      </c>
      <c r="G524" t="s">
        <v>41</v>
      </c>
      <c r="H524" t="s">
        <v>42</v>
      </c>
      <c r="I524" t="s">
        <v>75</v>
      </c>
      <c r="J524" t="s">
        <v>106</v>
      </c>
      <c r="K524">
        <v>3</v>
      </c>
      <c r="L524">
        <v>899</v>
      </c>
      <c r="M524" s="3">
        <v>0.15</v>
      </c>
      <c r="N524">
        <v>2292.4499999999998</v>
      </c>
      <c r="O524">
        <v>1800</v>
      </c>
      <c r="P524">
        <v>492.45</v>
      </c>
      <c r="Q524" t="s">
        <v>37</v>
      </c>
      <c r="R524" t="s">
        <v>28</v>
      </c>
      <c r="S524">
        <v>5</v>
      </c>
    </row>
    <row r="525" spans="1:19">
      <c r="A525" t="s">
        <v>864</v>
      </c>
      <c r="B525" s="2">
        <v>45789</v>
      </c>
      <c r="C525" t="s">
        <v>120</v>
      </c>
      <c r="D525" t="s">
        <v>121</v>
      </c>
      <c r="E525" t="s">
        <v>32</v>
      </c>
      <c r="F525">
        <v>35</v>
      </c>
      <c r="G525" t="s">
        <v>93</v>
      </c>
      <c r="H525" t="s">
        <v>94</v>
      </c>
      <c r="I525" t="s">
        <v>163</v>
      </c>
      <c r="J525" t="s">
        <v>290</v>
      </c>
      <c r="K525">
        <v>2</v>
      </c>
      <c r="L525">
        <v>1999</v>
      </c>
      <c r="M525" s="3">
        <v>0.2</v>
      </c>
      <c r="N525">
        <v>3198.4</v>
      </c>
      <c r="O525">
        <v>2400</v>
      </c>
      <c r="P525">
        <v>798.4</v>
      </c>
      <c r="Q525" t="s">
        <v>69</v>
      </c>
      <c r="R525" t="s">
        <v>28</v>
      </c>
      <c r="S525">
        <v>4</v>
      </c>
    </row>
    <row r="526" spans="1:19">
      <c r="A526" t="s">
        <v>865</v>
      </c>
      <c r="B526" s="2">
        <v>46013</v>
      </c>
      <c r="C526" t="s">
        <v>448</v>
      </c>
      <c r="D526" t="s">
        <v>449</v>
      </c>
      <c r="E526" t="s">
        <v>22</v>
      </c>
      <c r="F526">
        <v>43</v>
      </c>
      <c r="G526" t="s">
        <v>81</v>
      </c>
      <c r="H526" t="s">
        <v>82</v>
      </c>
      <c r="I526" t="s">
        <v>35</v>
      </c>
      <c r="J526" t="s">
        <v>126</v>
      </c>
      <c r="K526">
        <v>1</v>
      </c>
      <c r="L526">
        <v>1499</v>
      </c>
      <c r="M526" s="3">
        <v>0.2</v>
      </c>
      <c r="N526">
        <v>1199.2</v>
      </c>
      <c r="O526">
        <v>850</v>
      </c>
      <c r="P526">
        <v>349.2</v>
      </c>
      <c r="Q526" t="s">
        <v>66</v>
      </c>
      <c r="R526" t="s">
        <v>137</v>
      </c>
      <c r="S526">
        <v>2</v>
      </c>
    </row>
    <row r="527" spans="1:19">
      <c r="A527" t="s">
        <v>866</v>
      </c>
      <c r="B527" s="2">
        <v>45666</v>
      </c>
      <c r="C527" t="s">
        <v>195</v>
      </c>
      <c r="D527" t="s">
        <v>196</v>
      </c>
      <c r="E527" t="s">
        <v>22</v>
      </c>
      <c r="F527">
        <v>54</v>
      </c>
      <c r="G527" t="s">
        <v>73</v>
      </c>
      <c r="H527" t="s">
        <v>74</v>
      </c>
      <c r="I527" t="s">
        <v>25</v>
      </c>
      <c r="J527" t="s">
        <v>56</v>
      </c>
      <c r="K527">
        <v>4</v>
      </c>
      <c r="L527">
        <v>899</v>
      </c>
      <c r="M527" s="3">
        <v>0.1</v>
      </c>
      <c r="N527">
        <v>3236.4</v>
      </c>
      <c r="O527">
        <v>2200</v>
      </c>
      <c r="P527">
        <v>1036.4000000000001</v>
      </c>
      <c r="Q527" t="s">
        <v>69</v>
      </c>
      <c r="R527" t="s">
        <v>28</v>
      </c>
      <c r="S527">
        <v>4</v>
      </c>
    </row>
    <row r="528" spans="1:19">
      <c r="A528" t="s">
        <v>867</v>
      </c>
      <c r="B528" s="2">
        <v>45923</v>
      </c>
      <c r="C528" t="s">
        <v>212</v>
      </c>
      <c r="D528" t="s">
        <v>213</v>
      </c>
      <c r="E528" t="s">
        <v>22</v>
      </c>
      <c r="F528">
        <v>33</v>
      </c>
      <c r="G528" t="s">
        <v>48</v>
      </c>
      <c r="H528" t="s">
        <v>42</v>
      </c>
      <c r="I528" t="s">
        <v>25</v>
      </c>
      <c r="J528" t="s">
        <v>56</v>
      </c>
      <c r="K528">
        <v>3</v>
      </c>
      <c r="L528">
        <v>899</v>
      </c>
      <c r="M528" s="3">
        <v>0.1</v>
      </c>
      <c r="N528">
        <v>2427.3000000000002</v>
      </c>
      <c r="O528">
        <v>1650</v>
      </c>
      <c r="P528">
        <v>777.3</v>
      </c>
      <c r="Q528" t="s">
        <v>27</v>
      </c>
      <c r="R528" t="s">
        <v>28</v>
      </c>
      <c r="S528">
        <v>2</v>
      </c>
    </row>
    <row r="529" spans="1:19">
      <c r="A529" t="s">
        <v>868</v>
      </c>
      <c r="B529" s="2">
        <v>45846</v>
      </c>
      <c r="C529" t="s">
        <v>154</v>
      </c>
      <c r="D529" t="s">
        <v>155</v>
      </c>
      <c r="E529" t="s">
        <v>22</v>
      </c>
      <c r="F529">
        <v>53</v>
      </c>
      <c r="G529" t="s">
        <v>105</v>
      </c>
      <c r="H529" t="s">
        <v>105</v>
      </c>
      <c r="I529" t="s">
        <v>35</v>
      </c>
      <c r="J529" t="s">
        <v>36</v>
      </c>
      <c r="K529">
        <v>3</v>
      </c>
      <c r="L529">
        <v>599</v>
      </c>
      <c r="M529" s="3">
        <v>0.1</v>
      </c>
      <c r="N529">
        <v>1617.3</v>
      </c>
      <c r="O529">
        <v>960</v>
      </c>
      <c r="P529">
        <v>657.3</v>
      </c>
      <c r="Q529" t="s">
        <v>66</v>
      </c>
      <c r="R529" t="s">
        <v>28</v>
      </c>
      <c r="S529">
        <v>4</v>
      </c>
    </row>
    <row r="530" spans="1:19">
      <c r="A530" t="s">
        <v>869</v>
      </c>
      <c r="B530" s="2">
        <v>46119</v>
      </c>
      <c r="C530" t="s">
        <v>862</v>
      </c>
      <c r="D530" t="s">
        <v>863</v>
      </c>
      <c r="E530" t="s">
        <v>32</v>
      </c>
      <c r="F530">
        <v>53</v>
      </c>
      <c r="G530" t="s">
        <v>41</v>
      </c>
      <c r="H530" t="s">
        <v>42</v>
      </c>
      <c r="I530" t="s">
        <v>163</v>
      </c>
      <c r="J530" t="s">
        <v>214</v>
      </c>
      <c r="K530">
        <v>4</v>
      </c>
      <c r="L530">
        <v>1499</v>
      </c>
      <c r="M530" s="3">
        <v>0.1</v>
      </c>
      <c r="N530">
        <v>5396.4</v>
      </c>
      <c r="O530">
        <v>3600</v>
      </c>
      <c r="P530">
        <v>1796.4</v>
      </c>
      <c r="Q530" t="s">
        <v>27</v>
      </c>
      <c r="R530" t="s">
        <v>28</v>
      </c>
      <c r="S530">
        <v>5</v>
      </c>
    </row>
    <row r="531" spans="1:19">
      <c r="A531" t="s">
        <v>870</v>
      </c>
      <c r="B531" s="2">
        <v>46226</v>
      </c>
      <c r="C531" t="s">
        <v>183</v>
      </c>
      <c r="D531" t="s">
        <v>184</v>
      </c>
      <c r="E531" t="s">
        <v>22</v>
      </c>
      <c r="F531">
        <v>43</v>
      </c>
      <c r="G531" t="s">
        <v>60</v>
      </c>
      <c r="H531" t="s">
        <v>61</v>
      </c>
      <c r="I531" t="s">
        <v>25</v>
      </c>
      <c r="J531" t="s">
        <v>56</v>
      </c>
      <c r="K531">
        <v>3</v>
      </c>
      <c r="L531">
        <v>899</v>
      </c>
      <c r="M531" s="3">
        <v>0.05</v>
      </c>
      <c r="N531">
        <v>2562.15</v>
      </c>
      <c r="O531">
        <v>1650</v>
      </c>
      <c r="P531">
        <v>912.15</v>
      </c>
      <c r="Q531" t="s">
        <v>66</v>
      </c>
      <c r="R531" t="s">
        <v>137</v>
      </c>
      <c r="S531">
        <v>2</v>
      </c>
    </row>
    <row r="532" spans="1:19">
      <c r="A532" t="s">
        <v>871</v>
      </c>
      <c r="B532" s="2">
        <v>45667</v>
      </c>
      <c r="C532" t="s">
        <v>354</v>
      </c>
      <c r="D532" t="s">
        <v>339</v>
      </c>
      <c r="E532" t="s">
        <v>32</v>
      </c>
      <c r="F532">
        <v>25</v>
      </c>
      <c r="G532" t="s">
        <v>115</v>
      </c>
      <c r="H532" t="s">
        <v>116</v>
      </c>
      <c r="I532" t="s">
        <v>117</v>
      </c>
      <c r="J532" t="s">
        <v>152</v>
      </c>
      <c r="K532">
        <v>2</v>
      </c>
      <c r="L532">
        <v>899</v>
      </c>
      <c r="M532" s="3">
        <v>0.15</v>
      </c>
      <c r="N532">
        <v>1528.3</v>
      </c>
      <c r="O532">
        <v>1000</v>
      </c>
      <c r="P532">
        <v>528.29999999999995</v>
      </c>
      <c r="Q532" t="s">
        <v>27</v>
      </c>
      <c r="R532" t="s">
        <v>28</v>
      </c>
      <c r="S532">
        <v>2</v>
      </c>
    </row>
    <row r="533" spans="1:19">
      <c r="A533" t="s">
        <v>872</v>
      </c>
      <c r="B533" s="2">
        <v>45965</v>
      </c>
      <c r="C533" t="s">
        <v>351</v>
      </c>
      <c r="D533" t="s">
        <v>352</v>
      </c>
      <c r="E533" t="s">
        <v>32</v>
      </c>
      <c r="F533">
        <v>41</v>
      </c>
      <c r="G533" t="s">
        <v>73</v>
      </c>
      <c r="H533" t="s">
        <v>74</v>
      </c>
      <c r="I533" t="s">
        <v>35</v>
      </c>
      <c r="J533" t="s">
        <v>126</v>
      </c>
      <c r="K533">
        <v>3</v>
      </c>
      <c r="L533">
        <v>1499</v>
      </c>
      <c r="M533" s="3">
        <v>0.15</v>
      </c>
      <c r="N533">
        <v>3822.45</v>
      </c>
      <c r="O533">
        <v>2550</v>
      </c>
      <c r="P533">
        <v>1272.45</v>
      </c>
      <c r="Q533" t="s">
        <v>37</v>
      </c>
      <c r="R533" t="s">
        <v>28</v>
      </c>
      <c r="S533">
        <v>5</v>
      </c>
    </row>
    <row r="534" spans="1:19">
      <c r="A534" t="s">
        <v>873</v>
      </c>
      <c r="B534" s="2">
        <v>45719</v>
      </c>
      <c r="C534" t="s">
        <v>506</v>
      </c>
      <c r="D534" t="s">
        <v>414</v>
      </c>
      <c r="E534" t="s">
        <v>22</v>
      </c>
      <c r="F534">
        <v>42</v>
      </c>
      <c r="G534" t="s">
        <v>180</v>
      </c>
      <c r="H534" t="s">
        <v>181</v>
      </c>
      <c r="I534" t="s">
        <v>163</v>
      </c>
      <c r="J534" t="s">
        <v>290</v>
      </c>
      <c r="K534">
        <v>1</v>
      </c>
      <c r="L534">
        <v>1999</v>
      </c>
      <c r="M534" s="3">
        <v>0.05</v>
      </c>
      <c r="N534">
        <v>1899.05</v>
      </c>
      <c r="O534">
        <v>1200</v>
      </c>
      <c r="P534">
        <v>699.05</v>
      </c>
      <c r="Q534" t="s">
        <v>27</v>
      </c>
      <c r="R534" t="s">
        <v>137</v>
      </c>
      <c r="S534">
        <v>4</v>
      </c>
    </row>
    <row r="535" spans="1:19">
      <c r="A535" t="s">
        <v>874</v>
      </c>
      <c r="B535" s="2">
        <v>46027</v>
      </c>
      <c r="C535" t="s">
        <v>579</v>
      </c>
      <c r="D535" t="s">
        <v>145</v>
      </c>
      <c r="E535" t="s">
        <v>32</v>
      </c>
      <c r="F535">
        <v>22</v>
      </c>
      <c r="G535" t="s">
        <v>141</v>
      </c>
      <c r="H535" t="s">
        <v>142</v>
      </c>
      <c r="I535" t="s">
        <v>35</v>
      </c>
      <c r="J535" t="s">
        <v>136</v>
      </c>
      <c r="K535">
        <v>3</v>
      </c>
      <c r="L535">
        <v>799</v>
      </c>
      <c r="M535" s="3">
        <v>0.1</v>
      </c>
      <c r="N535">
        <v>2157.3000000000002</v>
      </c>
      <c r="O535">
        <v>1350</v>
      </c>
      <c r="P535">
        <v>807.3</v>
      </c>
      <c r="Q535" t="s">
        <v>37</v>
      </c>
      <c r="R535" t="s">
        <v>28</v>
      </c>
      <c r="S535">
        <v>3</v>
      </c>
    </row>
    <row r="536" spans="1:19">
      <c r="A536" t="s">
        <v>875</v>
      </c>
      <c r="B536" s="2">
        <v>46017</v>
      </c>
      <c r="C536" t="s">
        <v>199</v>
      </c>
      <c r="D536" t="s">
        <v>200</v>
      </c>
      <c r="E536" t="s">
        <v>22</v>
      </c>
      <c r="F536">
        <v>42</v>
      </c>
      <c r="G536" t="s">
        <v>33</v>
      </c>
      <c r="H536" t="s">
        <v>34</v>
      </c>
      <c r="I536" t="s">
        <v>25</v>
      </c>
      <c r="J536" t="s">
        <v>156</v>
      </c>
      <c r="K536">
        <v>4</v>
      </c>
      <c r="L536">
        <v>1999</v>
      </c>
      <c r="M536" s="3">
        <v>0</v>
      </c>
      <c r="N536">
        <v>7996</v>
      </c>
      <c r="O536">
        <v>5200</v>
      </c>
      <c r="P536">
        <v>2796</v>
      </c>
      <c r="Q536" t="s">
        <v>50</v>
      </c>
      <c r="R536" t="s">
        <v>28</v>
      </c>
      <c r="S536">
        <v>5</v>
      </c>
    </row>
    <row r="537" spans="1:19">
      <c r="A537" t="s">
        <v>876</v>
      </c>
      <c r="B537" s="2">
        <v>45990</v>
      </c>
      <c r="C537" t="s">
        <v>467</v>
      </c>
      <c r="D537" t="s">
        <v>322</v>
      </c>
      <c r="E537" t="s">
        <v>32</v>
      </c>
      <c r="F537">
        <v>41</v>
      </c>
      <c r="G537" t="s">
        <v>55</v>
      </c>
      <c r="H537" t="s">
        <v>34</v>
      </c>
      <c r="I537" t="s">
        <v>43</v>
      </c>
      <c r="J537" t="s">
        <v>95</v>
      </c>
      <c r="K537">
        <v>3</v>
      </c>
      <c r="L537">
        <v>2499</v>
      </c>
      <c r="M537" s="3">
        <v>0.1</v>
      </c>
      <c r="N537">
        <v>6747.3</v>
      </c>
      <c r="O537">
        <v>4500</v>
      </c>
      <c r="P537">
        <v>2247.3000000000002</v>
      </c>
      <c r="Q537" t="s">
        <v>50</v>
      </c>
      <c r="R537" t="s">
        <v>28</v>
      </c>
      <c r="S537">
        <v>4</v>
      </c>
    </row>
    <row r="538" spans="1:19">
      <c r="A538" t="s">
        <v>877</v>
      </c>
      <c r="B538" s="2">
        <v>45806</v>
      </c>
      <c r="C538" t="s">
        <v>295</v>
      </c>
      <c r="D538" t="s">
        <v>296</v>
      </c>
      <c r="E538" t="s">
        <v>22</v>
      </c>
      <c r="F538">
        <v>33</v>
      </c>
      <c r="G538" t="s">
        <v>41</v>
      </c>
      <c r="H538" t="s">
        <v>42</v>
      </c>
      <c r="I538" t="s">
        <v>163</v>
      </c>
      <c r="J538" t="s">
        <v>290</v>
      </c>
      <c r="K538">
        <v>3</v>
      </c>
      <c r="L538">
        <v>1999</v>
      </c>
      <c r="M538" s="3">
        <v>0.15</v>
      </c>
      <c r="N538">
        <v>5097.45</v>
      </c>
      <c r="O538">
        <v>3600</v>
      </c>
      <c r="P538">
        <v>1497.45</v>
      </c>
      <c r="Q538" t="s">
        <v>27</v>
      </c>
      <c r="R538" t="s">
        <v>28</v>
      </c>
      <c r="S538">
        <v>3</v>
      </c>
    </row>
    <row r="539" spans="1:19">
      <c r="A539" t="s">
        <v>878</v>
      </c>
      <c r="B539" s="2">
        <v>45739</v>
      </c>
      <c r="C539" t="s">
        <v>475</v>
      </c>
      <c r="D539" t="s">
        <v>476</v>
      </c>
      <c r="E539" t="s">
        <v>32</v>
      </c>
      <c r="F539">
        <v>51</v>
      </c>
      <c r="G539" t="s">
        <v>141</v>
      </c>
      <c r="H539" t="s">
        <v>142</v>
      </c>
      <c r="I539" t="s">
        <v>75</v>
      </c>
      <c r="J539" t="s">
        <v>76</v>
      </c>
      <c r="K539">
        <v>4</v>
      </c>
      <c r="L539">
        <v>399</v>
      </c>
      <c r="M539" s="3">
        <v>0</v>
      </c>
      <c r="N539">
        <v>1596</v>
      </c>
      <c r="O539">
        <v>880</v>
      </c>
      <c r="P539">
        <v>716</v>
      </c>
      <c r="Q539" t="s">
        <v>27</v>
      </c>
      <c r="R539" t="s">
        <v>28</v>
      </c>
      <c r="S539">
        <v>3</v>
      </c>
    </row>
    <row r="540" spans="1:19">
      <c r="A540" t="s">
        <v>879</v>
      </c>
      <c r="B540" s="2">
        <v>46062</v>
      </c>
      <c r="C540" t="s">
        <v>357</v>
      </c>
      <c r="D540" t="s">
        <v>237</v>
      </c>
      <c r="E540" t="s">
        <v>22</v>
      </c>
      <c r="F540">
        <v>42</v>
      </c>
      <c r="G540" t="s">
        <v>251</v>
      </c>
      <c r="H540" t="s">
        <v>251</v>
      </c>
      <c r="I540" t="s">
        <v>75</v>
      </c>
      <c r="J540" t="s">
        <v>76</v>
      </c>
      <c r="K540">
        <v>3</v>
      </c>
      <c r="L540">
        <v>399</v>
      </c>
      <c r="M540" s="3">
        <v>0.1</v>
      </c>
      <c r="N540">
        <v>1077.3</v>
      </c>
      <c r="O540">
        <v>660</v>
      </c>
      <c r="P540">
        <v>417.3</v>
      </c>
      <c r="Q540" t="s">
        <v>37</v>
      </c>
      <c r="R540" t="s">
        <v>77</v>
      </c>
      <c r="S540">
        <v>3</v>
      </c>
    </row>
    <row r="541" spans="1:19">
      <c r="A541" t="s">
        <v>880</v>
      </c>
      <c r="B541" s="2">
        <v>45846</v>
      </c>
      <c r="C541" t="s">
        <v>329</v>
      </c>
      <c r="D541" t="s">
        <v>330</v>
      </c>
      <c r="E541" t="s">
        <v>22</v>
      </c>
      <c r="F541">
        <v>28</v>
      </c>
      <c r="G541" t="s">
        <v>81</v>
      </c>
      <c r="H541" t="s">
        <v>82</v>
      </c>
      <c r="I541" t="s">
        <v>35</v>
      </c>
      <c r="J541" t="s">
        <v>136</v>
      </c>
      <c r="K541">
        <v>4</v>
      </c>
      <c r="L541">
        <v>799</v>
      </c>
      <c r="M541" s="3">
        <v>0.05</v>
      </c>
      <c r="N541">
        <v>3036.2</v>
      </c>
      <c r="O541">
        <v>1800</v>
      </c>
      <c r="P541">
        <v>1236.2</v>
      </c>
      <c r="Q541" t="s">
        <v>69</v>
      </c>
      <c r="R541" t="s">
        <v>28</v>
      </c>
      <c r="S541">
        <v>2</v>
      </c>
    </row>
    <row r="542" spans="1:19">
      <c r="A542" t="s">
        <v>881</v>
      </c>
      <c r="B542" s="2">
        <v>45828</v>
      </c>
      <c r="C542" t="s">
        <v>209</v>
      </c>
      <c r="D542" t="s">
        <v>210</v>
      </c>
      <c r="E542" t="s">
        <v>32</v>
      </c>
      <c r="F542">
        <v>26</v>
      </c>
      <c r="G542" t="s">
        <v>23</v>
      </c>
      <c r="H542" t="s">
        <v>24</v>
      </c>
      <c r="I542" t="s">
        <v>117</v>
      </c>
      <c r="J542" t="s">
        <v>152</v>
      </c>
      <c r="K542">
        <v>1</v>
      </c>
      <c r="L542">
        <v>899</v>
      </c>
      <c r="M542" s="3">
        <v>0.05</v>
      </c>
      <c r="N542">
        <v>854.05</v>
      </c>
      <c r="O542">
        <v>500</v>
      </c>
      <c r="P542">
        <v>354.05</v>
      </c>
      <c r="Q542" t="s">
        <v>66</v>
      </c>
      <c r="R542" t="s">
        <v>28</v>
      </c>
      <c r="S542">
        <v>1</v>
      </c>
    </row>
    <row r="543" spans="1:19">
      <c r="A543" t="s">
        <v>882</v>
      </c>
      <c r="B543" s="2">
        <v>46064</v>
      </c>
      <c r="C543" t="s">
        <v>433</v>
      </c>
      <c r="D543" t="s">
        <v>92</v>
      </c>
      <c r="E543" t="s">
        <v>32</v>
      </c>
      <c r="F543">
        <v>28</v>
      </c>
      <c r="G543" t="s">
        <v>93</v>
      </c>
      <c r="H543" t="s">
        <v>94</v>
      </c>
      <c r="I543" t="s">
        <v>35</v>
      </c>
      <c r="J543" t="s">
        <v>126</v>
      </c>
      <c r="K543">
        <v>1</v>
      </c>
      <c r="L543">
        <v>1499</v>
      </c>
      <c r="M543" s="3">
        <v>0</v>
      </c>
      <c r="N543">
        <v>1499</v>
      </c>
      <c r="O543">
        <v>850</v>
      </c>
      <c r="P543">
        <v>649</v>
      </c>
      <c r="Q543" t="s">
        <v>50</v>
      </c>
      <c r="R543" t="s">
        <v>28</v>
      </c>
      <c r="S543">
        <v>1</v>
      </c>
    </row>
    <row r="544" spans="1:19">
      <c r="A544" t="s">
        <v>883</v>
      </c>
      <c r="B544" s="2">
        <v>46057</v>
      </c>
      <c r="C544" t="s">
        <v>595</v>
      </c>
      <c r="D544" t="s">
        <v>596</v>
      </c>
      <c r="E544" t="s">
        <v>22</v>
      </c>
      <c r="F544">
        <v>25</v>
      </c>
      <c r="G544" t="s">
        <v>180</v>
      </c>
      <c r="H544" t="s">
        <v>181</v>
      </c>
      <c r="I544" t="s">
        <v>43</v>
      </c>
      <c r="J544" t="s">
        <v>197</v>
      </c>
      <c r="K544">
        <v>2</v>
      </c>
      <c r="L544">
        <v>1799</v>
      </c>
      <c r="M544" s="3">
        <v>0</v>
      </c>
      <c r="N544">
        <v>3598</v>
      </c>
      <c r="O544">
        <v>2100</v>
      </c>
      <c r="P544">
        <v>1498</v>
      </c>
      <c r="Q544" t="s">
        <v>37</v>
      </c>
      <c r="R544" t="s">
        <v>28</v>
      </c>
      <c r="S544">
        <v>3</v>
      </c>
    </row>
    <row r="545" spans="1:19">
      <c r="A545" t="s">
        <v>884</v>
      </c>
      <c r="B545" s="2">
        <v>46197</v>
      </c>
      <c r="C545" t="s">
        <v>381</v>
      </c>
      <c r="D545" t="s">
        <v>382</v>
      </c>
      <c r="E545" t="s">
        <v>22</v>
      </c>
      <c r="F545">
        <v>26</v>
      </c>
      <c r="G545" t="s">
        <v>55</v>
      </c>
      <c r="H545" t="s">
        <v>34</v>
      </c>
      <c r="I545" t="s">
        <v>75</v>
      </c>
      <c r="J545" t="s">
        <v>76</v>
      </c>
      <c r="K545">
        <v>2</v>
      </c>
      <c r="L545">
        <v>399</v>
      </c>
      <c r="M545" s="3">
        <v>0.05</v>
      </c>
      <c r="N545">
        <v>758.1</v>
      </c>
      <c r="O545">
        <v>440</v>
      </c>
      <c r="P545">
        <v>318.10000000000002</v>
      </c>
      <c r="Q545" t="s">
        <v>27</v>
      </c>
      <c r="R545" t="s">
        <v>28</v>
      </c>
      <c r="S545">
        <v>3</v>
      </c>
    </row>
    <row r="546" spans="1:19">
      <c r="A546" t="s">
        <v>885</v>
      </c>
      <c r="B546" s="2">
        <v>45936</v>
      </c>
      <c r="C546" t="s">
        <v>532</v>
      </c>
      <c r="D546" t="s">
        <v>533</v>
      </c>
      <c r="E546" t="s">
        <v>22</v>
      </c>
      <c r="F546">
        <v>32</v>
      </c>
      <c r="G546" t="s">
        <v>180</v>
      </c>
      <c r="H546" t="s">
        <v>181</v>
      </c>
      <c r="I546" t="s">
        <v>35</v>
      </c>
      <c r="J546" t="s">
        <v>36</v>
      </c>
      <c r="K546">
        <v>4</v>
      </c>
      <c r="L546">
        <v>599</v>
      </c>
      <c r="M546" s="3">
        <v>0.2</v>
      </c>
      <c r="N546">
        <v>1916.8</v>
      </c>
      <c r="O546">
        <v>1280</v>
      </c>
      <c r="P546">
        <v>636.79999999999995</v>
      </c>
      <c r="Q546" t="s">
        <v>50</v>
      </c>
      <c r="R546" t="s">
        <v>28</v>
      </c>
      <c r="S546">
        <v>5</v>
      </c>
    </row>
    <row r="547" spans="1:19">
      <c r="A547" t="s">
        <v>886</v>
      </c>
      <c r="B547" s="2">
        <v>46103</v>
      </c>
      <c r="C547" t="s">
        <v>511</v>
      </c>
      <c r="D547" t="s">
        <v>512</v>
      </c>
      <c r="E547" t="s">
        <v>22</v>
      </c>
      <c r="F547">
        <v>24</v>
      </c>
      <c r="G547" t="s">
        <v>115</v>
      </c>
      <c r="H547" t="s">
        <v>116</v>
      </c>
      <c r="I547" t="s">
        <v>75</v>
      </c>
      <c r="J547" t="s">
        <v>86</v>
      </c>
      <c r="K547">
        <v>4</v>
      </c>
      <c r="L547">
        <v>499</v>
      </c>
      <c r="M547" s="3">
        <v>0.2</v>
      </c>
      <c r="N547">
        <v>1596.8</v>
      </c>
      <c r="O547">
        <v>1200</v>
      </c>
      <c r="P547">
        <v>396.8</v>
      </c>
      <c r="Q547" t="s">
        <v>50</v>
      </c>
      <c r="R547" t="s">
        <v>28</v>
      </c>
      <c r="S547">
        <v>5</v>
      </c>
    </row>
    <row r="548" spans="1:19">
      <c r="A548" t="s">
        <v>887</v>
      </c>
      <c r="B548" s="2">
        <v>45890</v>
      </c>
      <c r="C548" t="s">
        <v>139</v>
      </c>
      <c r="D548" t="s">
        <v>140</v>
      </c>
      <c r="E548" t="s">
        <v>22</v>
      </c>
      <c r="F548">
        <v>44</v>
      </c>
      <c r="G548" t="s">
        <v>141</v>
      </c>
      <c r="H548" t="s">
        <v>142</v>
      </c>
      <c r="I548" t="s">
        <v>163</v>
      </c>
      <c r="J548" t="s">
        <v>214</v>
      </c>
      <c r="K548">
        <v>4</v>
      </c>
      <c r="L548">
        <v>1499</v>
      </c>
      <c r="M548" s="3">
        <v>0.2</v>
      </c>
      <c r="N548">
        <v>4796.8</v>
      </c>
      <c r="O548">
        <v>3600</v>
      </c>
      <c r="P548">
        <v>1196.8</v>
      </c>
      <c r="Q548" t="s">
        <v>69</v>
      </c>
      <c r="R548" t="s">
        <v>28</v>
      </c>
      <c r="S548">
        <v>3</v>
      </c>
    </row>
    <row r="549" spans="1:19">
      <c r="A549" t="s">
        <v>888</v>
      </c>
      <c r="B549" s="2">
        <v>45668</v>
      </c>
      <c r="C549" t="s">
        <v>270</v>
      </c>
      <c r="D549" t="s">
        <v>271</v>
      </c>
      <c r="E549" t="s">
        <v>22</v>
      </c>
      <c r="F549">
        <v>51</v>
      </c>
      <c r="G549" t="s">
        <v>48</v>
      </c>
      <c r="H549" t="s">
        <v>42</v>
      </c>
      <c r="I549" t="s">
        <v>43</v>
      </c>
      <c r="J549" t="s">
        <v>197</v>
      </c>
      <c r="K549">
        <v>2</v>
      </c>
      <c r="L549">
        <v>1799</v>
      </c>
      <c r="M549" s="3">
        <v>0.1</v>
      </c>
      <c r="N549">
        <v>3238.2</v>
      </c>
      <c r="O549">
        <v>2100</v>
      </c>
      <c r="P549">
        <v>1138.2</v>
      </c>
      <c r="Q549" t="s">
        <v>69</v>
      </c>
      <c r="R549" t="s">
        <v>28</v>
      </c>
      <c r="S549">
        <v>2</v>
      </c>
    </row>
    <row r="550" spans="1:19">
      <c r="A550" t="s">
        <v>889</v>
      </c>
      <c r="B550" s="2">
        <v>45666</v>
      </c>
      <c r="C550" t="s">
        <v>199</v>
      </c>
      <c r="D550" t="s">
        <v>200</v>
      </c>
      <c r="E550" t="s">
        <v>22</v>
      </c>
      <c r="F550">
        <v>42</v>
      </c>
      <c r="G550" t="s">
        <v>33</v>
      </c>
      <c r="H550" t="s">
        <v>34</v>
      </c>
      <c r="I550" t="s">
        <v>43</v>
      </c>
      <c r="J550" t="s">
        <v>44</v>
      </c>
      <c r="K550">
        <v>4</v>
      </c>
      <c r="L550">
        <v>1599</v>
      </c>
      <c r="M550" s="3">
        <v>0.2</v>
      </c>
      <c r="N550">
        <v>5116.8</v>
      </c>
      <c r="O550">
        <v>3800</v>
      </c>
      <c r="P550">
        <v>1316.8</v>
      </c>
      <c r="Q550" t="s">
        <v>66</v>
      </c>
      <c r="R550" t="s">
        <v>77</v>
      </c>
      <c r="S550">
        <v>4</v>
      </c>
    </row>
    <row r="551" spans="1:19">
      <c r="A551" t="s">
        <v>890</v>
      </c>
      <c r="B551" s="2">
        <v>45894</v>
      </c>
      <c r="C551" t="s">
        <v>84</v>
      </c>
      <c r="D551" t="s">
        <v>85</v>
      </c>
      <c r="E551" t="s">
        <v>32</v>
      </c>
      <c r="F551">
        <v>20</v>
      </c>
      <c r="G551" t="s">
        <v>41</v>
      </c>
      <c r="H551" t="s">
        <v>42</v>
      </c>
      <c r="I551" t="s">
        <v>25</v>
      </c>
      <c r="J551" t="s">
        <v>156</v>
      </c>
      <c r="K551">
        <v>4</v>
      </c>
      <c r="L551">
        <v>1999</v>
      </c>
      <c r="M551" s="3">
        <v>0.1</v>
      </c>
      <c r="N551">
        <v>7196.4</v>
      </c>
      <c r="O551">
        <v>5200</v>
      </c>
      <c r="P551">
        <v>1996.4</v>
      </c>
      <c r="Q551" t="s">
        <v>69</v>
      </c>
      <c r="R551" t="s">
        <v>28</v>
      </c>
      <c r="S551">
        <v>2</v>
      </c>
    </row>
    <row r="552" spans="1:19">
      <c r="A552" t="s">
        <v>891</v>
      </c>
      <c r="B552" s="2">
        <v>45913</v>
      </c>
      <c r="C552" t="s">
        <v>270</v>
      </c>
      <c r="D552" t="s">
        <v>271</v>
      </c>
      <c r="E552" t="s">
        <v>22</v>
      </c>
      <c r="F552">
        <v>51</v>
      </c>
      <c r="G552" t="s">
        <v>48</v>
      </c>
      <c r="H552" t="s">
        <v>42</v>
      </c>
      <c r="I552" t="s">
        <v>35</v>
      </c>
      <c r="J552" t="s">
        <v>126</v>
      </c>
      <c r="K552">
        <v>4</v>
      </c>
      <c r="L552">
        <v>1499</v>
      </c>
      <c r="M552" s="3">
        <v>0.15</v>
      </c>
      <c r="N552">
        <v>5096.6000000000004</v>
      </c>
      <c r="O552">
        <v>3400</v>
      </c>
      <c r="P552">
        <v>1696.6</v>
      </c>
      <c r="Q552" t="s">
        <v>27</v>
      </c>
      <c r="R552" t="s">
        <v>28</v>
      </c>
      <c r="S552">
        <v>4</v>
      </c>
    </row>
    <row r="553" spans="1:19">
      <c r="A553" t="s">
        <v>892</v>
      </c>
      <c r="B553" s="2">
        <v>46090</v>
      </c>
      <c r="C553" t="s">
        <v>516</v>
      </c>
      <c r="D553" t="s">
        <v>449</v>
      </c>
      <c r="E553" t="s">
        <v>22</v>
      </c>
      <c r="F553">
        <v>45</v>
      </c>
      <c r="G553" t="s">
        <v>41</v>
      </c>
      <c r="H553" t="s">
        <v>42</v>
      </c>
      <c r="I553" t="s">
        <v>43</v>
      </c>
      <c r="J553" t="s">
        <v>281</v>
      </c>
      <c r="K553">
        <v>3</v>
      </c>
      <c r="L553">
        <v>2999</v>
      </c>
      <c r="M553" s="3">
        <v>0</v>
      </c>
      <c r="N553">
        <v>8997</v>
      </c>
      <c r="O553">
        <v>5400</v>
      </c>
      <c r="P553">
        <v>3597</v>
      </c>
      <c r="Q553" t="s">
        <v>27</v>
      </c>
      <c r="R553" t="s">
        <v>28</v>
      </c>
      <c r="S553">
        <v>5</v>
      </c>
    </row>
    <row r="554" spans="1:19">
      <c r="A554" t="s">
        <v>893</v>
      </c>
      <c r="B554" s="2">
        <v>45850</v>
      </c>
      <c r="C554" t="s">
        <v>39</v>
      </c>
      <c r="D554" t="s">
        <v>40</v>
      </c>
      <c r="E554" t="s">
        <v>22</v>
      </c>
      <c r="F554">
        <v>39</v>
      </c>
      <c r="G554" t="s">
        <v>41</v>
      </c>
      <c r="H554" t="s">
        <v>42</v>
      </c>
      <c r="I554" t="s">
        <v>43</v>
      </c>
      <c r="J554" t="s">
        <v>44</v>
      </c>
      <c r="K554">
        <v>3</v>
      </c>
      <c r="L554">
        <v>1599</v>
      </c>
      <c r="M554" s="3">
        <v>0.15</v>
      </c>
      <c r="N554">
        <v>4077.45</v>
      </c>
      <c r="O554">
        <v>2850</v>
      </c>
      <c r="P554">
        <v>1227.45</v>
      </c>
      <c r="Q554" t="s">
        <v>69</v>
      </c>
      <c r="R554" t="s">
        <v>28</v>
      </c>
      <c r="S554">
        <v>3</v>
      </c>
    </row>
    <row r="555" spans="1:19">
      <c r="A555" t="s">
        <v>894</v>
      </c>
      <c r="B555" s="2">
        <v>46121</v>
      </c>
      <c r="C555" t="s">
        <v>250</v>
      </c>
      <c r="D555" t="s">
        <v>241</v>
      </c>
      <c r="E555" t="s">
        <v>32</v>
      </c>
      <c r="F555">
        <v>18</v>
      </c>
      <c r="G555" t="s">
        <v>251</v>
      </c>
      <c r="H555" t="s">
        <v>251</v>
      </c>
      <c r="I555" t="s">
        <v>75</v>
      </c>
      <c r="J555" t="s">
        <v>76</v>
      </c>
      <c r="K555">
        <v>4</v>
      </c>
      <c r="L555">
        <v>399</v>
      </c>
      <c r="M555" s="3">
        <v>0.2</v>
      </c>
      <c r="N555">
        <v>1276.8</v>
      </c>
      <c r="O555">
        <v>880</v>
      </c>
      <c r="P555">
        <v>396.8</v>
      </c>
      <c r="Q555" t="s">
        <v>37</v>
      </c>
      <c r="R555" t="s">
        <v>28</v>
      </c>
      <c r="S555">
        <v>4</v>
      </c>
    </row>
    <row r="556" spans="1:19">
      <c r="A556" t="s">
        <v>895</v>
      </c>
      <c r="B556" s="2">
        <v>45708</v>
      </c>
      <c r="C556" t="s">
        <v>603</v>
      </c>
      <c r="D556" t="s">
        <v>604</v>
      </c>
      <c r="E556" t="s">
        <v>32</v>
      </c>
      <c r="F556">
        <v>33</v>
      </c>
      <c r="G556" t="s">
        <v>41</v>
      </c>
      <c r="H556" t="s">
        <v>42</v>
      </c>
      <c r="I556" t="s">
        <v>163</v>
      </c>
      <c r="J556" t="s">
        <v>164</v>
      </c>
      <c r="K556">
        <v>1</v>
      </c>
      <c r="L556">
        <v>3499</v>
      </c>
      <c r="M556" s="3">
        <v>0.05</v>
      </c>
      <c r="N556">
        <v>3324.05</v>
      </c>
      <c r="O556">
        <v>2200</v>
      </c>
      <c r="P556">
        <v>1124.05</v>
      </c>
      <c r="Q556" t="s">
        <v>50</v>
      </c>
      <c r="R556" t="s">
        <v>28</v>
      </c>
      <c r="S556">
        <v>1</v>
      </c>
    </row>
    <row r="557" spans="1:19">
      <c r="A557" t="s">
        <v>896</v>
      </c>
      <c r="B557" s="2">
        <v>45666</v>
      </c>
      <c r="C557" t="s">
        <v>53</v>
      </c>
      <c r="D557" t="s">
        <v>54</v>
      </c>
      <c r="E557" t="s">
        <v>22</v>
      </c>
      <c r="F557">
        <v>34</v>
      </c>
      <c r="G557" t="s">
        <v>55</v>
      </c>
      <c r="H557" t="s">
        <v>34</v>
      </c>
      <c r="I557" t="s">
        <v>43</v>
      </c>
      <c r="J557" t="s">
        <v>197</v>
      </c>
      <c r="K557">
        <v>2</v>
      </c>
      <c r="L557">
        <v>1799</v>
      </c>
      <c r="M557" s="3">
        <v>0.15</v>
      </c>
      <c r="N557">
        <v>3058.3</v>
      </c>
      <c r="O557">
        <v>2100</v>
      </c>
      <c r="P557">
        <v>958.3</v>
      </c>
      <c r="Q557" t="s">
        <v>27</v>
      </c>
      <c r="R557" t="s">
        <v>28</v>
      </c>
      <c r="S557">
        <v>1</v>
      </c>
    </row>
    <row r="558" spans="1:19">
      <c r="A558" t="s">
        <v>897</v>
      </c>
      <c r="B558" s="2">
        <v>45977</v>
      </c>
      <c r="C558" t="s">
        <v>230</v>
      </c>
      <c r="D558" t="s">
        <v>231</v>
      </c>
      <c r="E558" t="s">
        <v>32</v>
      </c>
      <c r="F558">
        <v>35</v>
      </c>
      <c r="G558" t="s">
        <v>55</v>
      </c>
      <c r="H558" t="s">
        <v>34</v>
      </c>
      <c r="I558" t="s">
        <v>43</v>
      </c>
      <c r="J558" t="s">
        <v>49</v>
      </c>
      <c r="K558">
        <v>3</v>
      </c>
      <c r="L558">
        <v>799</v>
      </c>
      <c r="M558" s="3">
        <v>0.15</v>
      </c>
      <c r="N558">
        <v>2037.45</v>
      </c>
      <c r="O558">
        <v>1350</v>
      </c>
      <c r="P558">
        <v>687.45</v>
      </c>
      <c r="Q558" t="s">
        <v>66</v>
      </c>
      <c r="R558" t="s">
        <v>51</v>
      </c>
      <c r="S558">
        <v>4</v>
      </c>
    </row>
    <row r="559" spans="1:19">
      <c r="A559" t="s">
        <v>898</v>
      </c>
      <c r="B559" s="2">
        <v>45715</v>
      </c>
      <c r="C559" t="s">
        <v>236</v>
      </c>
      <c r="D559" t="s">
        <v>237</v>
      </c>
      <c r="E559" t="s">
        <v>32</v>
      </c>
      <c r="F559">
        <v>34</v>
      </c>
      <c r="G559" t="s">
        <v>180</v>
      </c>
      <c r="H559" t="s">
        <v>181</v>
      </c>
      <c r="I559" t="s">
        <v>163</v>
      </c>
      <c r="J559" t="s">
        <v>164</v>
      </c>
      <c r="K559">
        <v>1</v>
      </c>
      <c r="L559">
        <v>3499</v>
      </c>
      <c r="M559" s="3">
        <v>0.05</v>
      </c>
      <c r="N559">
        <v>3324.05</v>
      </c>
      <c r="O559">
        <v>2200</v>
      </c>
      <c r="P559">
        <v>1124.05</v>
      </c>
      <c r="Q559" t="s">
        <v>37</v>
      </c>
      <c r="R559" t="s">
        <v>28</v>
      </c>
      <c r="S559">
        <v>1</v>
      </c>
    </row>
    <row r="560" spans="1:19">
      <c r="A560" t="s">
        <v>899</v>
      </c>
      <c r="B560" s="2">
        <v>45914</v>
      </c>
      <c r="C560" t="s">
        <v>573</v>
      </c>
      <c r="D560" t="s">
        <v>92</v>
      </c>
      <c r="E560" t="s">
        <v>32</v>
      </c>
      <c r="F560">
        <v>41</v>
      </c>
      <c r="G560" t="s">
        <v>60</v>
      </c>
      <c r="H560" t="s">
        <v>61</v>
      </c>
      <c r="I560" t="s">
        <v>35</v>
      </c>
      <c r="J560" t="s">
        <v>36</v>
      </c>
      <c r="K560">
        <v>2</v>
      </c>
      <c r="L560">
        <v>599</v>
      </c>
      <c r="M560" s="3">
        <v>0.05</v>
      </c>
      <c r="N560">
        <v>1138.0999999999999</v>
      </c>
      <c r="O560">
        <v>640</v>
      </c>
      <c r="P560">
        <v>498.1</v>
      </c>
      <c r="Q560" t="s">
        <v>66</v>
      </c>
      <c r="R560" t="s">
        <v>137</v>
      </c>
      <c r="S560">
        <v>1</v>
      </c>
    </row>
    <row r="561" spans="1:19">
      <c r="A561" t="s">
        <v>900</v>
      </c>
      <c r="B561" s="2">
        <v>45692</v>
      </c>
      <c r="C561" t="s">
        <v>79</v>
      </c>
      <c r="D561" t="s">
        <v>80</v>
      </c>
      <c r="E561" t="s">
        <v>22</v>
      </c>
      <c r="F561">
        <v>22</v>
      </c>
      <c r="G561" t="s">
        <v>81</v>
      </c>
      <c r="H561" t="s">
        <v>82</v>
      </c>
      <c r="I561" t="s">
        <v>163</v>
      </c>
      <c r="J561" t="s">
        <v>290</v>
      </c>
      <c r="K561">
        <v>4</v>
      </c>
      <c r="L561">
        <v>1999</v>
      </c>
      <c r="M561" s="3">
        <v>0.05</v>
      </c>
      <c r="N561">
        <v>7596.2</v>
      </c>
      <c r="O561">
        <v>4800</v>
      </c>
      <c r="P561">
        <v>2796.2</v>
      </c>
      <c r="Q561" t="s">
        <v>27</v>
      </c>
      <c r="R561" t="s">
        <v>28</v>
      </c>
      <c r="S561">
        <v>1</v>
      </c>
    </row>
    <row r="562" spans="1:19">
      <c r="A562" t="s">
        <v>901</v>
      </c>
      <c r="B562" s="2">
        <v>46056</v>
      </c>
      <c r="C562" t="s">
        <v>329</v>
      </c>
      <c r="D562" t="s">
        <v>330</v>
      </c>
      <c r="E562" t="s">
        <v>22</v>
      </c>
      <c r="F562">
        <v>28</v>
      </c>
      <c r="G562" t="s">
        <v>81</v>
      </c>
      <c r="H562" t="s">
        <v>82</v>
      </c>
      <c r="I562" t="s">
        <v>117</v>
      </c>
      <c r="J562" t="s">
        <v>118</v>
      </c>
      <c r="K562">
        <v>2</v>
      </c>
      <c r="L562">
        <v>999</v>
      </c>
      <c r="M562" s="3">
        <v>0.15</v>
      </c>
      <c r="N562">
        <v>1698.3</v>
      </c>
      <c r="O562">
        <v>1100</v>
      </c>
      <c r="P562">
        <v>598.29999999999995</v>
      </c>
      <c r="Q562" t="s">
        <v>37</v>
      </c>
      <c r="R562" t="s">
        <v>77</v>
      </c>
      <c r="S562">
        <v>2</v>
      </c>
    </row>
    <row r="563" spans="1:19">
      <c r="A563" t="s">
        <v>902</v>
      </c>
      <c r="B563" s="2">
        <v>46150</v>
      </c>
      <c r="C563" t="s">
        <v>496</v>
      </c>
      <c r="D563" t="s">
        <v>408</v>
      </c>
      <c r="E563" t="s">
        <v>32</v>
      </c>
      <c r="F563">
        <v>54</v>
      </c>
      <c r="G563" t="s">
        <v>41</v>
      </c>
      <c r="H563" t="s">
        <v>42</v>
      </c>
      <c r="I563" t="s">
        <v>117</v>
      </c>
      <c r="J563" t="s">
        <v>152</v>
      </c>
      <c r="K563">
        <v>1</v>
      </c>
      <c r="L563">
        <v>899</v>
      </c>
      <c r="M563" s="3">
        <v>0.1</v>
      </c>
      <c r="N563">
        <v>809.1</v>
      </c>
      <c r="O563">
        <v>500</v>
      </c>
      <c r="P563">
        <v>309.10000000000002</v>
      </c>
      <c r="Q563" t="s">
        <v>37</v>
      </c>
      <c r="R563" t="s">
        <v>28</v>
      </c>
      <c r="S563">
        <v>1</v>
      </c>
    </row>
    <row r="564" spans="1:19">
      <c r="A564" t="s">
        <v>903</v>
      </c>
      <c r="B564" s="2">
        <v>45990</v>
      </c>
      <c r="C564" t="s">
        <v>289</v>
      </c>
      <c r="D564" t="s">
        <v>121</v>
      </c>
      <c r="E564" t="s">
        <v>22</v>
      </c>
      <c r="F564">
        <v>38</v>
      </c>
      <c r="G564" t="s">
        <v>73</v>
      </c>
      <c r="H564" t="s">
        <v>74</v>
      </c>
      <c r="I564" t="s">
        <v>25</v>
      </c>
      <c r="J564" t="s">
        <v>56</v>
      </c>
      <c r="K564">
        <v>2</v>
      </c>
      <c r="L564">
        <v>899</v>
      </c>
      <c r="M564" s="3">
        <v>0.15</v>
      </c>
      <c r="N564">
        <v>1528.3</v>
      </c>
      <c r="O564">
        <v>1100</v>
      </c>
      <c r="P564">
        <v>428.3</v>
      </c>
      <c r="Q564" t="s">
        <v>69</v>
      </c>
      <c r="R564" t="s">
        <v>28</v>
      </c>
      <c r="S564">
        <v>3</v>
      </c>
    </row>
    <row r="565" spans="1:19">
      <c r="A565" t="s">
        <v>904</v>
      </c>
      <c r="B565" s="2">
        <v>45667</v>
      </c>
      <c r="C565" t="s">
        <v>264</v>
      </c>
      <c r="D565" t="s">
        <v>265</v>
      </c>
      <c r="E565" t="s">
        <v>22</v>
      </c>
      <c r="F565">
        <v>48</v>
      </c>
      <c r="G565" t="s">
        <v>23</v>
      </c>
      <c r="H565" t="s">
        <v>24</v>
      </c>
      <c r="I565" t="s">
        <v>25</v>
      </c>
      <c r="J565" t="s">
        <v>56</v>
      </c>
      <c r="K565">
        <v>4</v>
      </c>
      <c r="L565">
        <v>899</v>
      </c>
      <c r="M565" s="3">
        <v>0.05</v>
      </c>
      <c r="N565">
        <v>3416.2</v>
      </c>
      <c r="O565">
        <v>2200</v>
      </c>
      <c r="P565">
        <v>1216.2</v>
      </c>
      <c r="Q565" t="s">
        <v>69</v>
      </c>
      <c r="R565" t="s">
        <v>28</v>
      </c>
      <c r="S565">
        <v>4</v>
      </c>
    </row>
    <row r="566" spans="1:19">
      <c r="A566" t="s">
        <v>905</v>
      </c>
      <c r="B566" s="2">
        <v>45819</v>
      </c>
      <c r="C566" t="s">
        <v>315</v>
      </c>
      <c r="D566" t="s">
        <v>305</v>
      </c>
      <c r="E566" t="s">
        <v>22</v>
      </c>
      <c r="F566">
        <v>18</v>
      </c>
      <c r="G566" t="s">
        <v>48</v>
      </c>
      <c r="H566" t="s">
        <v>42</v>
      </c>
      <c r="I566" t="s">
        <v>163</v>
      </c>
      <c r="J566" t="s">
        <v>214</v>
      </c>
      <c r="K566">
        <v>1</v>
      </c>
      <c r="L566">
        <v>1499</v>
      </c>
      <c r="M566" s="3">
        <v>0.05</v>
      </c>
      <c r="N566">
        <v>1424.05</v>
      </c>
      <c r="O566">
        <v>900</v>
      </c>
      <c r="P566">
        <v>524.04999999999995</v>
      </c>
      <c r="Q566" t="s">
        <v>66</v>
      </c>
      <c r="R566" t="s">
        <v>28</v>
      </c>
      <c r="S566">
        <v>5</v>
      </c>
    </row>
    <row r="567" spans="1:19">
      <c r="A567" t="s">
        <v>906</v>
      </c>
      <c r="B567" s="2">
        <v>46022</v>
      </c>
      <c r="C567" t="s">
        <v>175</v>
      </c>
      <c r="D567" t="s">
        <v>176</v>
      </c>
      <c r="E567" t="s">
        <v>32</v>
      </c>
      <c r="F567">
        <v>29</v>
      </c>
      <c r="G567" t="s">
        <v>60</v>
      </c>
      <c r="H567" t="s">
        <v>61</v>
      </c>
      <c r="I567" t="s">
        <v>75</v>
      </c>
      <c r="J567" t="s">
        <v>76</v>
      </c>
      <c r="K567">
        <v>1</v>
      </c>
      <c r="L567">
        <v>399</v>
      </c>
      <c r="M567" s="3">
        <v>0</v>
      </c>
      <c r="N567">
        <v>399</v>
      </c>
      <c r="O567">
        <v>220</v>
      </c>
      <c r="P567">
        <v>179</v>
      </c>
      <c r="Q567" t="s">
        <v>27</v>
      </c>
      <c r="R567" t="s">
        <v>28</v>
      </c>
      <c r="S567">
        <v>1</v>
      </c>
    </row>
    <row r="568" spans="1:19">
      <c r="A568" t="s">
        <v>907</v>
      </c>
      <c r="B568" s="2">
        <v>46229</v>
      </c>
      <c r="C568" t="s">
        <v>169</v>
      </c>
      <c r="D568" t="s">
        <v>170</v>
      </c>
      <c r="E568" t="s">
        <v>32</v>
      </c>
      <c r="F568">
        <v>37</v>
      </c>
      <c r="G568" t="s">
        <v>60</v>
      </c>
      <c r="H568" t="s">
        <v>61</v>
      </c>
      <c r="I568" t="s">
        <v>35</v>
      </c>
      <c r="J568" t="s">
        <v>36</v>
      </c>
      <c r="K568">
        <v>2</v>
      </c>
      <c r="L568">
        <v>599</v>
      </c>
      <c r="M568" s="3">
        <v>0.1</v>
      </c>
      <c r="N568">
        <v>1078.2</v>
      </c>
      <c r="O568">
        <v>640</v>
      </c>
      <c r="P568">
        <v>438.2</v>
      </c>
      <c r="Q568" t="s">
        <v>37</v>
      </c>
      <c r="R568" t="s">
        <v>137</v>
      </c>
      <c r="S568">
        <v>4</v>
      </c>
    </row>
    <row r="569" spans="1:19">
      <c r="A569" t="s">
        <v>908</v>
      </c>
      <c r="B569" s="2">
        <v>45795</v>
      </c>
      <c r="C569" t="s">
        <v>789</v>
      </c>
      <c r="D569" t="s">
        <v>790</v>
      </c>
      <c r="E569" t="s">
        <v>22</v>
      </c>
      <c r="F569">
        <v>21</v>
      </c>
      <c r="G569" t="s">
        <v>141</v>
      </c>
      <c r="H569" t="s">
        <v>142</v>
      </c>
      <c r="I569" t="s">
        <v>25</v>
      </c>
      <c r="J569" t="s">
        <v>156</v>
      </c>
      <c r="K569">
        <v>4</v>
      </c>
      <c r="L569">
        <v>1999</v>
      </c>
      <c r="M569" s="3">
        <v>0.1</v>
      </c>
      <c r="N569">
        <v>7196.4</v>
      </c>
      <c r="O569">
        <v>5200</v>
      </c>
      <c r="P569">
        <v>1996.4</v>
      </c>
      <c r="Q569" t="s">
        <v>37</v>
      </c>
      <c r="R569" t="s">
        <v>77</v>
      </c>
      <c r="S569">
        <v>4</v>
      </c>
    </row>
    <row r="570" spans="1:19">
      <c r="A570" t="s">
        <v>909</v>
      </c>
      <c r="B570" s="2">
        <v>46159</v>
      </c>
      <c r="C570" t="s">
        <v>345</v>
      </c>
      <c r="D570" t="s">
        <v>346</v>
      </c>
      <c r="E570" t="s">
        <v>32</v>
      </c>
      <c r="F570">
        <v>33</v>
      </c>
      <c r="G570" t="s">
        <v>73</v>
      </c>
      <c r="H570" t="s">
        <v>74</v>
      </c>
      <c r="I570" t="s">
        <v>35</v>
      </c>
      <c r="J570" t="s">
        <v>126</v>
      </c>
      <c r="K570">
        <v>3</v>
      </c>
      <c r="L570">
        <v>1499</v>
      </c>
      <c r="M570" s="3">
        <v>0.2</v>
      </c>
      <c r="N570">
        <v>3597.6</v>
      </c>
      <c r="O570">
        <v>2550</v>
      </c>
      <c r="P570">
        <v>1047.5999999999999</v>
      </c>
      <c r="Q570" t="s">
        <v>27</v>
      </c>
      <c r="R570" t="s">
        <v>28</v>
      </c>
      <c r="S570">
        <v>5</v>
      </c>
    </row>
    <row r="571" spans="1:19">
      <c r="A571" t="s">
        <v>910</v>
      </c>
      <c r="B571" s="2">
        <v>46225</v>
      </c>
      <c r="C571" t="s">
        <v>313</v>
      </c>
      <c r="D571" t="s">
        <v>72</v>
      </c>
      <c r="E571" t="s">
        <v>22</v>
      </c>
      <c r="F571">
        <v>45</v>
      </c>
      <c r="G571" t="s">
        <v>41</v>
      </c>
      <c r="H571" t="s">
        <v>42</v>
      </c>
      <c r="I571" t="s">
        <v>163</v>
      </c>
      <c r="J571" t="s">
        <v>164</v>
      </c>
      <c r="K571">
        <v>4</v>
      </c>
      <c r="L571">
        <v>3499</v>
      </c>
      <c r="M571" s="3">
        <v>0.1</v>
      </c>
      <c r="N571">
        <v>12596.4</v>
      </c>
      <c r="O571">
        <v>8800</v>
      </c>
      <c r="P571">
        <v>3796.4</v>
      </c>
      <c r="Q571" t="s">
        <v>27</v>
      </c>
      <c r="R571" t="s">
        <v>28</v>
      </c>
      <c r="S571">
        <v>2</v>
      </c>
    </row>
    <row r="572" spans="1:19">
      <c r="A572" t="s">
        <v>911</v>
      </c>
      <c r="B572" s="2">
        <v>46033</v>
      </c>
      <c r="C572" t="s">
        <v>257</v>
      </c>
      <c r="D572" t="s">
        <v>125</v>
      </c>
      <c r="E572" t="s">
        <v>32</v>
      </c>
      <c r="F572">
        <v>52</v>
      </c>
      <c r="G572" t="s">
        <v>33</v>
      </c>
      <c r="H572" t="s">
        <v>34</v>
      </c>
      <c r="I572" t="s">
        <v>43</v>
      </c>
      <c r="J572" t="s">
        <v>44</v>
      </c>
      <c r="K572">
        <v>3</v>
      </c>
      <c r="L572">
        <v>1599</v>
      </c>
      <c r="M572" s="3">
        <v>0.2</v>
      </c>
      <c r="N572">
        <v>3837.6</v>
      </c>
      <c r="O572">
        <v>2850</v>
      </c>
      <c r="P572">
        <v>987.6</v>
      </c>
      <c r="Q572" t="s">
        <v>66</v>
      </c>
      <c r="R572" t="s">
        <v>28</v>
      </c>
      <c r="S572">
        <v>5</v>
      </c>
    </row>
    <row r="573" spans="1:19">
      <c r="A573" t="s">
        <v>912</v>
      </c>
      <c r="B573" s="2">
        <v>46030</v>
      </c>
      <c r="C573" t="s">
        <v>192</v>
      </c>
      <c r="D573" t="s">
        <v>193</v>
      </c>
      <c r="E573" t="s">
        <v>32</v>
      </c>
      <c r="F573">
        <v>47</v>
      </c>
      <c r="G573" t="s">
        <v>93</v>
      </c>
      <c r="H573" t="s">
        <v>94</v>
      </c>
      <c r="I573" t="s">
        <v>117</v>
      </c>
      <c r="J573" t="s">
        <v>152</v>
      </c>
      <c r="K573">
        <v>2</v>
      </c>
      <c r="L573">
        <v>899</v>
      </c>
      <c r="M573" s="3">
        <v>0</v>
      </c>
      <c r="N573">
        <v>1798</v>
      </c>
      <c r="O573">
        <v>1000</v>
      </c>
      <c r="P573">
        <v>798</v>
      </c>
      <c r="Q573" t="s">
        <v>50</v>
      </c>
      <c r="R573" t="s">
        <v>28</v>
      </c>
      <c r="S573">
        <v>1</v>
      </c>
    </row>
    <row r="574" spans="1:19">
      <c r="A574" t="s">
        <v>913</v>
      </c>
      <c r="B574" s="2">
        <v>46167</v>
      </c>
      <c r="C574" t="s">
        <v>467</v>
      </c>
      <c r="D574" t="s">
        <v>322</v>
      </c>
      <c r="E574" t="s">
        <v>32</v>
      </c>
      <c r="F574">
        <v>41</v>
      </c>
      <c r="G574" t="s">
        <v>55</v>
      </c>
      <c r="H574" t="s">
        <v>34</v>
      </c>
      <c r="I574" t="s">
        <v>163</v>
      </c>
      <c r="J574" t="s">
        <v>290</v>
      </c>
      <c r="K574">
        <v>2</v>
      </c>
      <c r="L574">
        <v>1999</v>
      </c>
      <c r="M574" s="3">
        <v>0.2</v>
      </c>
      <c r="N574">
        <v>3198.4</v>
      </c>
      <c r="O574">
        <v>2400</v>
      </c>
      <c r="P574">
        <v>798.4</v>
      </c>
      <c r="Q574" t="s">
        <v>50</v>
      </c>
      <c r="R574" t="s">
        <v>28</v>
      </c>
      <c r="S574">
        <v>3</v>
      </c>
    </row>
    <row r="575" spans="1:19">
      <c r="A575" t="s">
        <v>914</v>
      </c>
      <c r="B575" s="2">
        <v>45756</v>
      </c>
      <c r="C575" t="s">
        <v>110</v>
      </c>
      <c r="D575" t="s">
        <v>111</v>
      </c>
      <c r="E575" t="s">
        <v>22</v>
      </c>
      <c r="F575">
        <v>47</v>
      </c>
      <c r="G575" t="s">
        <v>48</v>
      </c>
      <c r="H575" t="s">
        <v>42</v>
      </c>
      <c r="I575" t="s">
        <v>163</v>
      </c>
      <c r="J575" t="s">
        <v>234</v>
      </c>
      <c r="K575">
        <v>3</v>
      </c>
      <c r="L575">
        <v>999</v>
      </c>
      <c r="M575" s="3">
        <v>0</v>
      </c>
      <c r="N575">
        <v>2997</v>
      </c>
      <c r="O575">
        <v>1800</v>
      </c>
      <c r="P575">
        <v>1197</v>
      </c>
      <c r="Q575" t="s">
        <v>50</v>
      </c>
      <c r="R575" t="s">
        <v>28</v>
      </c>
      <c r="S575">
        <v>1</v>
      </c>
    </row>
    <row r="576" spans="1:19">
      <c r="A576" t="s">
        <v>915</v>
      </c>
      <c r="B576" s="2">
        <v>45767</v>
      </c>
      <c r="C576" t="s">
        <v>342</v>
      </c>
      <c r="D576" t="s">
        <v>343</v>
      </c>
      <c r="E576" t="s">
        <v>22</v>
      </c>
      <c r="F576">
        <v>23</v>
      </c>
      <c r="G576" t="s">
        <v>48</v>
      </c>
      <c r="H576" t="s">
        <v>42</v>
      </c>
      <c r="I576" t="s">
        <v>43</v>
      </c>
      <c r="J576" t="s">
        <v>95</v>
      </c>
      <c r="K576">
        <v>1</v>
      </c>
      <c r="L576">
        <v>2499</v>
      </c>
      <c r="M576" s="3">
        <v>0.05</v>
      </c>
      <c r="N576">
        <v>2374.0500000000002</v>
      </c>
      <c r="O576">
        <v>1500</v>
      </c>
      <c r="P576">
        <v>874.05</v>
      </c>
      <c r="Q576" t="s">
        <v>66</v>
      </c>
      <c r="R576" t="s">
        <v>28</v>
      </c>
      <c r="S576">
        <v>1</v>
      </c>
    </row>
    <row r="577" spans="1:19">
      <c r="A577" t="s">
        <v>916</v>
      </c>
      <c r="B577" s="2">
        <v>46196</v>
      </c>
      <c r="C577" t="s">
        <v>283</v>
      </c>
      <c r="D577" t="s">
        <v>284</v>
      </c>
      <c r="E577" t="s">
        <v>32</v>
      </c>
      <c r="F577">
        <v>39</v>
      </c>
      <c r="G577" t="s">
        <v>55</v>
      </c>
      <c r="H577" t="s">
        <v>34</v>
      </c>
      <c r="I577" t="s">
        <v>75</v>
      </c>
      <c r="J577" t="s">
        <v>76</v>
      </c>
      <c r="K577">
        <v>4</v>
      </c>
      <c r="L577">
        <v>399</v>
      </c>
      <c r="M577" s="3">
        <v>0.15</v>
      </c>
      <c r="N577">
        <v>1356.6</v>
      </c>
      <c r="O577">
        <v>880</v>
      </c>
      <c r="P577">
        <v>476.6</v>
      </c>
      <c r="Q577" t="s">
        <v>50</v>
      </c>
      <c r="R577" t="s">
        <v>28</v>
      </c>
      <c r="S577">
        <v>3</v>
      </c>
    </row>
    <row r="578" spans="1:19">
      <c r="A578" t="s">
        <v>917</v>
      </c>
      <c r="B578" s="2">
        <v>45730</v>
      </c>
      <c r="C578" t="s">
        <v>506</v>
      </c>
      <c r="D578" t="s">
        <v>414</v>
      </c>
      <c r="E578" t="s">
        <v>22</v>
      </c>
      <c r="F578">
        <v>42</v>
      </c>
      <c r="G578" t="s">
        <v>180</v>
      </c>
      <c r="H578" t="s">
        <v>181</v>
      </c>
      <c r="I578" t="s">
        <v>163</v>
      </c>
      <c r="J578" t="s">
        <v>214</v>
      </c>
      <c r="K578">
        <v>2</v>
      </c>
      <c r="L578">
        <v>1499</v>
      </c>
      <c r="M578" s="3">
        <v>0.2</v>
      </c>
      <c r="N578">
        <v>2398.4</v>
      </c>
      <c r="O578">
        <v>1800</v>
      </c>
      <c r="P578">
        <v>598.4</v>
      </c>
      <c r="Q578" t="s">
        <v>69</v>
      </c>
      <c r="R578" t="s">
        <v>77</v>
      </c>
      <c r="S578">
        <v>2</v>
      </c>
    </row>
    <row r="579" spans="1:19">
      <c r="A579" t="s">
        <v>918</v>
      </c>
      <c r="B579" s="2">
        <v>46027</v>
      </c>
      <c r="C579" t="s">
        <v>64</v>
      </c>
      <c r="D579" t="s">
        <v>65</v>
      </c>
      <c r="E579" t="s">
        <v>32</v>
      </c>
      <c r="F579">
        <v>31</v>
      </c>
      <c r="G579" t="s">
        <v>33</v>
      </c>
      <c r="H579" t="s">
        <v>34</v>
      </c>
      <c r="I579" t="s">
        <v>25</v>
      </c>
      <c r="J579" t="s">
        <v>26</v>
      </c>
      <c r="K579">
        <v>4</v>
      </c>
      <c r="L579">
        <v>2499</v>
      </c>
      <c r="M579" s="3">
        <v>0</v>
      </c>
      <c r="N579">
        <v>9996</v>
      </c>
      <c r="O579">
        <v>6400</v>
      </c>
      <c r="P579">
        <v>3596</v>
      </c>
      <c r="Q579" t="s">
        <v>50</v>
      </c>
      <c r="R579" t="s">
        <v>28</v>
      </c>
      <c r="S579">
        <v>4</v>
      </c>
    </row>
    <row r="580" spans="1:19">
      <c r="A580" t="s">
        <v>919</v>
      </c>
      <c r="B580" s="2">
        <v>45930</v>
      </c>
      <c r="C580" t="s">
        <v>30</v>
      </c>
      <c r="D580" t="s">
        <v>31</v>
      </c>
      <c r="E580" t="s">
        <v>32</v>
      </c>
      <c r="F580">
        <v>29</v>
      </c>
      <c r="G580" t="s">
        <v>33</v>
      </c>
      <c r="H580" t="s">
        <v>34</v>
      </c>
      <c r="I580" t="s">
        <v>117</v>
      </c>
      <c r="J580" t="s">
        <v>238</v>
      </c>
      <c r="K580">
        <v>1</v>
      </c>
      <c r="L580">
        <v>2499</v>
      </c>
      <c r="M580" s="3">
        <v>0.2</v>
      </c>
      <c r="N580">
        <v>1999.2</v>
      </c>
      <c r="O580">
        <v>1500</v>
      </c>
      <c r="P580">
        <v>499.2</v>
      </c>
      <c r="Q580" t="s">
        <v>50</v>
      </c>
      <c r="R580" t="s">
        <v>28</v>
      </c>
      <c r="S580">
        <v>1</v>
      </c>
    </row>
    <row r="581" spans="1:19">
      <c r="A581" t="s">
        <v>920</v>
      </c>
      <c r="B581" s="2">
        <v>45757</v>
      </c>
      <c r="C581" t="s">
        <v>227</v>
      </c>
      <c r="D581" t="s">
        <v>228</v>
      </c>
      <c r="E581" t="s">
        <v>22</v>
      </c>
      <c r="F581">
        <v>24</v>
      </c>
      <c r="G581" t="s">
        <v>93</v>
      </c>
      <c r="H581" t="s">
        <v>94</v>
      </c>
      <c r="I581" t="s">
        <v>25</v>
      </c>
      <c r="J581" t="s">
        <v>26</v>
      </c>
      <c r="K581">
        <v>2</v>
      </c>
      <c r="L581">
        <v>2499</v>
      </c>
      <c r="M581" s="3">
        <v>0.2</v>
      </c>
      <c r="N581">
        <v>3998.4</v>
      </c>
      <c r="O581">
        <v>3200</v>
      </c>
      <c r="P581">
        <v>798.4</v>
      </c>
      <c r="Q581" t="s">
        <v>69</v>
      </c>
      <c r="R581" t="s">
        <v>28</v>
      </c>
      <c r="S581">
        <v>5</v>
      </c>
    </row>
    <row r="582" spans="1:19">
      <c r="A582" t="s">
        <v>921</v>
      </c>
      <c r="B582" s="2">
        <v>45912</v>
      </c>
      <c r="C582" t="s">
        <v>202</v>
      </c>
      <c r="D582" t="s">
        <v>89</v>
      </c>
      <c r="E582" t="s">
        <v>22</v>
      </c>
      <c r="F582">
        <v>50</v>
      </c>
      <c r="G582" t="s">
        <v>93</v>
      </c>
      <c r="H582" t="s">
        <v>94</v>
      </c>
      <c r="I582" t="s">
        <v>43</v>
      </c>
      <c r="J582" t="s">
        <v>49</v>
      </c>
      <c r="K582">
        <v>2</v>
      </c>
      <c r="L582">
        <v>799</v>
      </c>
      <c r="M582" s="3">
        <v>0.2</v>
      </c>
      <c r="N582">
        <v>1278.4000000000001</v>
      </c>
      <c r="O582">
        <v>900</v>
      </c>
      <c r="P582">
        <v>378.4</v>
      </c>
      <c r="Q582" t="s">
        <v>50</v>
      </c>
      <c r="R582" t="s">
        <v>28</v>
      </c>
      <c r="S582">
        <v>2</v>
      </c>
    </row>
    <row r="583" spans="1:19">
      <c r="A583" t="s">
        <v>922</v>
      </c>
      <c r="B583" s="2">
        <v>46248</v>
      </c>
      <c r="C583" t="s">
        <v>427</v>
      </c>
      <c r="D583" t="s">
        <v>248</v>
      </c>
      <c r="E583" t="s">
        <v>32</v>
      </c>
      <c r="F583">
        <v>33</v>
      </c>
      <c r="G583" t="s">
        <v>41</v>
      </c>
      <c r="H583" t="s">
        <v>42</v>
      </c>
      <c r="I583" t="s">
        <v>117</v>
      </c>
      <c r="J583" t="s">
        <v>152</v>
      </c>
      <c r="K583">
        <v>4</v>
      </c>
      <c r="L583">
        <v>899</v>
      </c>
      <c r="M583" s="3">
        <v>0</v>
      </c>
      <c r="N583">
        <v>3596</v>
      </c>
      <c r="O583">
        <v>2000</v>
      </c>
      <c r="P583">
        <v>1596</v>
      </c>
      <c r="Q583" t="s">
        <v>37</v>
      </c>
      <c r="R583" t="s">
        <v>28</v>
      </c>
      <c r="S583">
        <v>4</v>
      </c>
    </row>
    <row r="584" spans="1:19">
      <c r="A584" t="s">
        <v>923</v>
      </c>
      <c r="B584" s="2">
        <v>46069</v>
      </c>
      <c r="C584" t="s">
        <v>595</v>
      </c>
      <c r="D584" t="s">
        <v>596</v>
      </c>
      <c r="E584" t="s">
        <v>22</v>
      </c>
      <c r="F584">
        <v>25</v>
      </c>
      <c r="G584" t="s">
        <v>180</v>
      </c>
      <c r="H584" t="s">
        <v>181</v>
      </c>
      <c r="I584" t="s">
        <v>43</v>
      </c>
      <c r="J584" t="s">
        <v>95</v>
      </c>
      <c r="K584">
        <v>2</v>
      </c>
      <c r="L584">
        <v>2499</v>
      </c>
      <c r="M584" s="3">
        <v>0.2</v>
      </c>
      <c r="N584">
        <v>3998.4</v>
      </c>
      <c r="O584">
        <v>3000</v>
      </c>
      <c r="P584">
        <v>998.4</v>
      </c>
      <c r="Q584" t="s">
        <v>50</v>
      </c>
      <c r="R584" t="s">
        <v>28</v>
      </c>
      <c r="S584">
        <v>2</v>
      </c>
    </row>
    <row r="585" spans="1:19">
      <c r="A585" t="s">
        <v>924</v>
      </c>
      <c r="B585" s="2">
        <v>45980</v>
      </c>
      <c r="C585" t="s">
        <v>58</v>
      </c>
      <c r="D585" t="s">
        <v>59</v>
      </c>
      <c r="E585" t="s">
        <v>32</v>
      </c>
      <c r="F585">
        <v>25</v>
      </c>
      <c r="G585" t="s">
        <v>60</v>
      </c>
      <c r="H585" t="s">
        <v>61</v>
      </c>
      <c r="I585" t="s">
        <v>75</v>
      </c>
      <c r="J585" t="s">
        <v>106</v>
      </c>
      <c r="K585">
        <v>4</v>
      </c>
      <c r="L585">
        <v>899</v>
      </c>
      <c r="M585" s="3">
        <v>0.1</v>
      </c>
      <c r="N585">
        <v>3236.4</v>
      </c>
      <c r="O585">
        <v>2400</v>
      </c>
      <c r="P585">
        <v>836.4</v>
      </c>
      <c r="Q585" t="s">
        <v>50</v>
      </c>
      <c r="R585" t="s">
        <v>51</v>
      </c>
      <c r="S585">
        <v>3</v>
      </c>
    </row>
    <row r="586" spans="1:19">
      <c r="A586" t="s">
        <v>925</v>
      </c>
      <c r="B586" s="2">
        <v>45904</v>
      </c>
      <c r="C586" t="s">
        <v>862</v>
      </c>
      <c r="D586" t="s">
        <v>863</v>
      </c>
      <c r="E586" t="s">
        <v>32</v>
      </c>
      <c r="F586">
        <v>53</v>
      </c>
      <c r="G586" t="s">
        <v>41</v>
      </c>
      <c r="H586" t="s">
        <v>42</v>
      </c>
      <c r="I586" t="s">
        <v>163</v>
      </c>
      <c r="J586" t="s">
        <v>234</v>
      </c>
      <c r="K586">
        <v>4</v>
      </c>
      <c r="L586">
        <v>999</v>
      </c>
      <c r="M586" s="3">
        <v>0.1</v>
      </c>
      <c r="N586">
        <v>3596.4</v>
      </c>
      <c r="O586">
        <v>2400</v>
      </c>
      <c r="P586">
        <v>1196.4000000000001</v>
      </c>
      <c r="Q586" t="s">
        <v>50</v>
      </c>
      <c r="R586" t="s">
        <v>28</v>
      </c>
      <c r="S586">
        <v>4</v>
      </c>
    </row>
    <row r="587" spans="1:19">
      <c r="A587" t="s">
        <v>926</v>
      </c>
      <c r="B587" s="2">
        <v>46121</v>
      </c>
      <c r="C587" t="s">
        <v>397</v>
      </c>
      <c r="D587" t="s">
        <v>284</v>
      </c>
      <c r="E587" t="s">
        <v>22</v>
      </c>
      <c r="F587">
        <v>51</v>
      </c>
      <c r="G587" t="s">
        <v>33</v>
      </c>
      <c r="H587" t="s">
        <v>34</v>
      </c>
      <c r="I587" t="s">
        <v>117</v>
      </c>
      <c r="J587" t="s">
        <v>152</v>
      </c>
      <c r="K587">
        <v>3</v>
      </c>
      <c r="L587">
        <v>899</v>
      </c>
      <c r="M587" s="3">
        <v>0.1</v>
      </c>
      <c r="N587">
        <v>2427.3000000000002</v>
      </c>
      <c r="O587">
        <v>1500</v>
      </c>
      <c r="P587">
        <v>927.3</v>
      </c>
      <c r="Q587" t="s">
        <v>66</v>
      </c>
      <c r="R587" t="s">
        <v>51</v>
      </c>
      <c r="S587">
        <v>1</v>
      </c>
    </row>
    <row r="588" spans="1:19">
      <c r="A588" t="s">
        <v>927</v>
      </c>
      <c r="B588" s="2">
        <v>45796</v>
      </c>
      <c r="C588" t="s">
        <v>236</v>
      </c>
      <c r="D588" t="s">
        <v>237</v>
      </c>
      <c r="E588" t="s">
        <v>32</v>
      </c>
      <c r="F588">
        <v>34</v>
      </c>
      <c r="G588" t="s">
        <v>180</v>
      </c>
      <c r="H588" t="s">
        <v>181</v>
      </c>
      <c r="I588" t="s">
        <v>43</v>
      </c>
      <c r="J588" t="s">
        <v>44</v>
      </c>
      <c r="K588">
        <v>1</v>
      </c>
      <c r="L588">
        <v>1599</v>
      </c>
      <c r="M588" s="3">
        <v>0.2</v>
      </c>
      <c r="N588">
        <v>1279.2</v>
      </c>
      <c r="O588">
        <v>950</v>
      </c>
      <c r="P588">
        <v>329.2</v>
      </c>
      <c r="Q588" t="s">
        <v>37</v>
      </c>
      <c r="R588" t="s">
        <v>28</v>
      </c>
      <c r="S588">
        <v>2</v>
      </c>
    </row>
    <row r="589" spans="1:19">
      <c r="A589" t="s">
        <v>928</v>
      </c>
      <c r="B589" s="2">
        <v>46224</v>
      </c>
      <c r="C589" t="s">
        <v>585</v>
      </c>
      <c r="D589" t="s">
        <v>586</v>
      </c>
      <c r="E589" t="s">
        <v>32</v>
      </c>
      <c r="F589">
        <v>31</v>
      </c>
      <c r="G589" t="s">
        <v>48</v>
      </c>
      <c r="H589" t="s">
        <v>42</v>
      </c>
      <c r="I589" t="s">
        <v>163</v>
      </c>
      <c r="J589" t="s">
        <v>164</v>
      </c>
      <c r="K589">
        <v>1</v>
      </c>
      <c r="L589">
        <v>3499</v>
      </c>
      <c r="M589" s="3">
        <v>0.1</v>
      </c>
      <c r="N589">
        <v>3149.1</v>
      </c>
      <c r="O589">
        <v>2200</v>
      </c>
      <c r="P589">
        <v>949.1</v>
      </c>
      <c r="Q589" t="s">
        <v>50</v>
      </c>
      <c r="R589" t="s">
        <v>28</v>
      </c>
      <c r="S589">
        <v>5</v>
      </c>
    </row>
    <row r="590" spans="1:19">
      <c r="A590" t="s">
        <v>929</v>
      </c>
      <c r="B590" s="2">
        <v>46022</v>
      </c>
      <c r="C590" t="s">
        <v>315</v>
      </c>
      <c r="D590" t="s">
        <v>305</v>
      </c>
      <c r="E590" t="s">
        <v>22</v>
      </c>
      <c r="F590">
        <v>18</v>
      </c>
      <c r="G590" t="s">
        <v>48</v>
      </c>
      <c r="H590" t="s">
        <v>42</v>
      </c>
      <c r="I590" t="s">
        <v>25</v>
      </c>
      <c r="J590" t="s">
        <v>56</v>
      </c>
      <c r="K590">
        <v>1</v>
      </c>
      <c r="L590">
        <v>899</v>
      </c>
      <c r="M590" s="3">
        <v>0.15</v>
      </c>
      <c r="N590">
        <v>764.15</v>
      </c>
      <c r="O590">
        <v>550</v>
      </c>
      <c r="P590">
        <v>214.15</v>
      </c>
      <c r="Q590" t="s">
        <v>27</v>
      </c>
      <c r="R590" t="s">
        <v>28</v>
      </c>
      <c r="S590">
        <v>3</v>
      </c>
    </row>
    <row r="591" spans="1:19">
      <c r="A591" t="s">
        <v>930</v>
      </c>
      <c r="B591" s="2">
        <v>45965</v>
      </c>
      <c r="C591" t="s">
        <v>264</v>
      </c>
      <c r="D591" t="s">
        <v>265</v>
      </c>
      <c r="E591" t="s">
        <v>22</v>
      </c>
      <c r="F591">
        <v>48</v>
      </c>
      <c r="G591" t="s">
        <v>23</v>
      </c>
      <c r="H591" t="s">
        <v>24</v>
      </c>
      <c r="I591" t="s">
        <v>43</v>
      </c>
      <c r="J591" t="s">
        <v>281</v>
      </c>
      <c r="K591">
        <v>2</v>
      </c>
      <c r="L591">
        <v>2999</v>
      </c>
      <c r="M591" s="3">
        <v>0.1</v>
      </c>
      <c r="N591">
        <v>5398.2</v>
      </c>
      <c r="O591">
        <v>3600</v>
      </c>
      <c r="P591">
        <v>1798.2</v>
      </c>
      <c r="Q591" t="s">
        <v>69</v>
      </c>
      <c r="R591" t="s">
        <v>28</v>
      </c>
      <c r="S591">
        <v>5</v>
      </c>
    </row>
    <row r="592" spans="1:19">
      <c r="A592" t="s">
        <v>931</v>
      </c>
      <c r="B592" s="2">
        <v>46152</v>
      </c>
      <c r="C592" t="s">
        <v>289</v>
      </c>
      <c r="D592" t="s">
        <v>121</v>
      </c>
      <c r="E592" t="s">
        <v>22</v>
      </c>
      <c r="F592">
        <v>38</v>
      </c>
      <c r="G592" t="s">
        <v>73</v>
      </c>
      <c r="H592" t="s">
        <v>74</v>
      </c>
      <c r="I592" t="s">
        <v>117</v>
      </c>
      <c r="J592" t="s">
        <v>152</v>
      </c>
      <c r="K592">
        <v>1</v>
      </c>
      <c r="L592">
        <v>899</v>
      </c>
      <c r="M592" s="3">
        <v>0.1</v>
      </c>
      <c r="N592">
        <v>809.1</v>
      </c>
      <c r="O592">
        <v>500</v>
      </c>
      <c r="P592">
        <v>309.10000000000002</v>
      </c>
      <c r="Q592" t="s">
        <v>27</v>
      </c>
      <c r="R592" t="s">
        <v>28</v>
      </c>
      <c r="S592">
        <v>5</v>
      </c>
    </row>
    <row r="593" spans="1:19">
      <c r="A593" t="s">
        <v>932</v>
      </c>
      <c r="B593" s="2">
        <v>46248</v>
      </c>
      <c r="C593" t="s">
        <v>579</v>
      </c>
      <c r="D593" t="s">
        <v>145</v>
      </c>
      <c r="E593" t="s">
        <v>32</v>
      </c>
      <c r="F593">
        <v>22</v>
      </c>
      <c r="G593" t="s">
        <v>141</v>
      </c>
      <c r="H593" t="s">
        <v>142</v>
      </c>
      <c r="I593" t="s">
        <v>75</v>
      </c>
      <c r="J593" t="s">
        <v>106</v>
      </c>
      <c r="K593">
        <v>3</v>
      </c>
      <c r="L593">
        <v>899</v>
      </c>
      <c r="M593" s="3">
        <v>0</v>
      </c>
      <c r="N593">
        <v>2697</v>
      </c>
      <c r="O593">
        <v>1800</v>
      </c>
      <c r="P593">
        <v>897</v>
      </c>
      <c r="Q593" t="s">
        <v>66</v>
      </c>
      <c r="R593" t="s">
        <v>28</v>
      </c>
      <c r="S593">
        <v>1</v>
      </c>
    </row>
    <row r="594" spans="1:19">
      <c r="A594" t="s">
        <v>933</v>
      </c>
      <c r="B594" s="2">
        <v>45781</v>
      </c>
      <c r="C594" t="s">
        <v>723</v>
      </c>
      <c r="D594" t="s">
        <v>724</v>
      </c>
      <c r="E594" t="s">
        <v>32</v>
      </c>
      <c r="F594">
        <v>52</v>
      </c>
      <c r="G594" t="s">
        <v>55</v>
      </c>
      <c r="H594" t="s">
        <v>34</v>
      </c>
      <c r="I594" t="s">
        <v>163</v>
      </c>
      <c r="J594" t="s">
        <v>214</v>
      </c>
      <c r="K594">
        <v>4</v>
      </c>
      <c r="L594">
        <v>1499</v>
      </c>
      <c r="M594" s="3">
        <v>0.15</v>
      </c>
      <c r="N594">
        <v>5096.6000000000004</v>
      </c>
      <c r="O594">
        <v>3600</v>
      </c>
      <c r="P594">
        <v>1496.6</v>
      </c>
      <c r="Q594" t="s">
        <v>27</v>
      </c>
      <c r="R594" t="s">
        <v>28</v>
      </c>
      <c r="S594">
        <v>5</v>
      </c>
    </row>
    <row r="595" spans="1:19">
      <c r="A595" t="s">
        <v>934</v>
      </c>
      <c r="B595" s="2">
        <v>45970</v>
      </c>
      <c r="C595" t="s">
        <v>847</v>
      </c>
      <c r="D595" t="s">
        <v>135</v>
      </c>
      <c r="E595" t="s">
        <v>32</v>
      </c>
      <c r="F595">
        <v>20</v>
      </c>
      <c r="G595" t="s">
        <v>81</v>
      </c>
      <c r="H595" t="s">
        <v>82</v>
      </c>
      <c r="I595" t="s">
        <v>75</v>
      </c>
      <c r="J595" t="s">
        <v>76</v>
      </c>
      <c r="K595">
        <v>4</v>
      </c>
      <c r="L595">
        <v>399</v>
      </c>
      <c r="M595" s="3">
        <v>0</v>
      </c>
      <c r="N595">
        <v>1596</v>
      </c>
      <c r="O595">
        <v>880</v>
      </c>
      <c r="P595">
        <v>716</v>
      </c>
      <c r="Q595" t="s">
        <v>50</v>
      </c>
      <c r="R595" t="s">
        <v>28</v>
      </c>
      <c r="S595">
        <v>5</v>
      </c>
    </row>
    <row r="596" spans="1:19">
      <c r="A596" t="s">
        <v>935</v>
      </c>
      <c r="B596" s="2">
        <v>45884</v>
      </c>
      <c r="C596" t="s">
        <v>287</v>
      </c>
      <c r="D596" t="s">
        <v>190</v>
      </c>
      <c r="E596" t="s">
        <v>32</v>
      </c>
      <c r="F596">
        <v>39</v>
      </c>
      <c r="G596" t="s">
        <v>81</v>
      </c>
      <c r="H596" t="s">
        <v>82</v>
      </c>
      <c r="I596" t="s">
        <v>25</v>
      </c>
      <c r="J596" t="s">
        <v>62</v>
      </c>
      <c r="K596">
        <v>3</v>
      </c>
      <c r="L596">
        <v>1299</v>
      </c>
      <c r="M596" s="3">
        <v>0.2</v>
      </c>
      <c r="N596">
        <v>3117.6</v>
      </c>
      <c r="O596">
        <v>2400</v>
      </c>
      <c r="P596">
        <v>717.6</v>
      </c>
      <c r="Q596" t="s">
        <v>27</v>
      </c>
      <c r="R596" t="s">
        <v>28</v>
      </c>
      <c r="S596">
        <v>4</v>
      </c>
    </row>
    <row r="597" spans="1:19">
      <c r="A597" t="s">
        <v>936</v>
      </c>
      <c r="B597" s="2">
        <v>46100</v>
      </c>
      <c r="C597" t="s">
        <v>317</v>
      </c>
      <c r="D597" t="s">
        <v>318</v>
      </c>
      <c r="E597" t="s">
        <v>22</v>
      </c>
      <c r="F597">
        <v>31</v>
      </c>
      <c r="G597" t="s">
        <v>33</v>
      </c>
      <c r="H597" t="s">
        <v>34</v>
      </c>
      <c r="I597" t="s">
        <v>75</v>
      </c>
      <c r="J597" t="s">
        <v>106</v>
      </c>
      <c r="K597">
        <v>1</v>
      </c>
      <c r="L597">
        <v>899</v>
      </c>
      <c r="M597" s="3">
        <v>0.05</v>
      </c>
      <c r="N597">
        <v>854.05</v>
      </c>
      <c r="O597">
        <v>600</v>
      </c>
      <c r="P597">
        <v>254.05</v>
      </c>
      <c r="Q597" t="s">
        <v>37</v>
      </c>
      <c r="R597" t="s">
        <v>137</v>
      </c>
      <c r="S597">
        <v>2</v>
      </c>
    </row>
    <row r="598" spans="1:19">
      <c r="A598" t="s">
        <v>937</v>
      </c>
      <c r="B598" s="2">
        <v>46243</v>
      </c>
      <c r="C598" t="s">
        <v>342</v>
      </c>
      <c r="D598" t="s">
        <v>343</v>
      </c>
      <c r="E598" t="s">
        <v>22</v>
      </c>
      <c r="F598">
        <v>23</v>
      </c>
      <c r="G598" t="s">
        <v>48</v>
      </c>
      <c r="H598" t="s">
        <v>42</v>
      </c>
      <c r="I598" t="s">
        <v>163</v>
      </c>
      <c r="J598" t="s">
        <v>164</v>
      </c>
      <c r="K598">
        <v>1</v>
      </c>
      <c r="L598">
        <v>3499</v>
      </c>
      <c r="M598" s="3">
        <v>0.15</v>
      </c>
      <c r="N598">
        <v>2974.15</v>
      </c>
      <c r="O598">
        <v>2200</v>
      </c>
      <c r="P598">
        <v>774.15</v>
      </c>
      <c r="Q598" t="s">
        <v>69</v>
      </c>
      <c r="R598" t="s">
        <v>28</v>
      </c>
      <c r="S598">
        <v>3</v>
      </c>
    </row>
    <row r="599" spans="1:19">
      <c r="A599" t="s">
        <v>938</v>
      </c>
      <c r="B599" s="2">
        <v>45796</v>
      </c>
      <c r="C599" t="s">
        <v>801</v>
      </c>
      <c r="D599" t="s">
        <v>225</v>
      </c>
      <c r="E599" t="s">
        <v>32</v>
      </c>
      <c r="F599">
        <v>55</v>
      </c>
      <c r="G599" t="s">
        <v>41</v>
      </c>
      <c r="H599" t="s">
        <v>42</v>
      </c>
      <c r="I599" t="s">
        <v>163</v>
      </c>
      <c r="J599" t="s">
        <v>290</v>
      </c>
      <c r="K599">
        <v>4</v>
      </c>
      <c r="L599">
        <v>1999</v>
      </c>
      <c r="M599" s="3">
        <v>0.05</v>
      </c>
      <c r="N599">
        <v>7596.2</v>
      </c>
      <c r="O599">
        <v>4800</v>
      </c>
      <c r="P599">
        <v>2796.2</v>
      </c>
      <c r="Q599" t="s">
        <v>66</v>
      </c>
      <c r="R599" t="s">
        <v>28</v>
      </c>
      <c r="S599">
        <v>4</v>
      </c>
    </row>
    <row r="600" spans="1:19">
      <c r="A600" t="s">
        <v>939</v>
      </c>
      <c r="B600" s="2">
        <v>46194</v>
      </c>
      <c r="C600" t="s">
        <v>220</v>
      </c>
      <c r="D600" t="s">
        <v>221</v>
      </c>
      <c r="E600" t="s">
        <v>22</v>
      </c>
      <c r="F600">
        <v>27</v>
      </c>
      <c r="G600" t="s">
        <v>141</v>
      </c>
      <c r="H600" t="s">
        <v>142</v>
      </c>
      <c r="I600" t="s">
        <v>75</v>
      </c>
      <c r="J600" t="s">
        <v>76</v>
      </c>
      <c r="K600">
        <v>2</v>
      </c>
      <c r="L600">
        <v>399</v>
      </c>
      <c r="M600" s="3">
        <v>0.2</v>
      </c>
      <c r="N600">
        <v>638.4</v>
      </c>
      <c r="O600">
        <v>440</v>
      </c>
      <c r="P600">
        <v>198.4</v>
      </c>
      <c r="Q600" t="s">
        <v>27</v>
      </c>
      <c r="R600" t="s">
        <v>28</v>
      </c>
      <c r="S600">
        <v>3</v>
      </c>
    </row>
    <row r="601" spans="1:19">
      <c r="A601" t="s">
        <v>940</v>
      </c>
      <c r="B601" s="2">
        <v>46081</v>
      </c>
      <c r="C601" t="s">
        <v>267</v>
      </c>
      <c r="D601" t="s">
        <v>268</v>
      </c>
      <c r="E601" t="s">
        <v>22</v>
      </c>
      <c r="F601">
        <v>35</v>
      </c>
      <c r="G601" t="s">
        <v>141</v>
      </c>
      <c r="H601" t="s">
        <v>142</v>
      </c>
      <c r="I601" t="s">
        <v>163</v>
      </c>
      <c r="J601" t="s">
        <v>164</v>
      </c>
      <c r="K601">
        <v>1</v>
      </c>
      <c r="L601">
        <v>3499</v>
      </c>
      <c r="M601" s="3">
        <v>0</v>
      </c>
      <c r="N601">
        <v>3499</v>
      </c>
      <c r="O601">
        <v>2200</v>
      </c>
      <c r="P601">
        <v>1299</v>
      </c>
      <c r="Q601" t="s">
        <v>66</v>
      </c>
      <c r="R601" t="s">
        <v>28</v>
      </c>
      <c r="S601">
        <v>2</v>
      </c>
    </row>
    <row r="602" spans="1:19">
      <c r="A602" t="s">
        <v>941</v>
      </c>
      <c r="B602" s="2">
        <v>45831</v>
      </c>
      <c r="C602" t="s">
        <v>110</v>
      </c>
      <c r="D602" t="s">
        <v>111</v>
      </c>
      <c r="E602" t="s">
        <v>22</v>
      </c>
      <c r="F602">
        <v>47</v>
      </c>
      <c r="G602" t="s">
        <v>48</v>
      </c>
      <c r="H602" t="s">
        <v>42</v>
      </c>
      <c r="I602" t="s">
        <v>163</v>
      </c>
      <c r="J602" t="s">
        <v>214</v>
      </c>
      <c r="K602">
        <v>1</v>
      </c>
      <c r="L602">
        <v>1499</v>
      </c>
      <c r="M602" s="3">
        <v>0.1</v>
      </c>
      <c r="N602">
        <v>1349.1</v>
      </c>
      <c r="O602">
        <v>900</v>
      </c>
      <c r="P602">
        <v>449.1</v>
      </c>
      <c r="Q602" t="s">
        <v>37</v>
      </c>
      <c r="R602" t="s">
        <v>28</v>
      </c>
      <c r="S602">
        <v>4</v>
      </c>
    </row>
    <row r="603" spans="1:19">
      <c r="A603" t="s">
        <v>942</v>
      </c>
      <c r="B603" s="2">
        <v>45862</v>
      </c>
      <c r="C603" t="s">
        <v>354</v>
      </c>
      <c r="D603" t="s">
        <v>339</v>
      </c>
      <c r="E603" t="s">
        <v>32</v>
      </c>
      <c r="F603">
        <v>25</v>
      </c>
      <c r="G603" t="s">
        <v>115</v>
      </c>
      <c r="H603" t="s">
        <v>116</v>
      </c>
      <c r="I603" t="s">
        <v>35</v>
      </c>
      <c r="J603" t="s">
        <v>136</v>
      </c>
      <c r="K603">
        <v>1</v>
      </c>
      <c r="L603">
        <v>799</v>
      </c>
      <c r="M603" s="3">
        <v>0.05</v>
      </c>
      <c r="N603">
        <v>759.05</v>
      </c>
      <c r="O603">
        <v>450</v>
      </c>
      <c r="P603">
        <v>309.05</v>
      </c>
      <c r="Q603" t="s">
        <v>37</v>
      </c>
      <c r="R603" t="s">
        <v>28</v>
      </c>
      <c r="S603">
        <v>1</v>
      </c>
    </row>
    <row r="604" spans="1:19">
      <c r="A604" t="s">
        <v>943</v>
      </c>
      <c r="B604" s="2">
        <v>45809</v>
      </c>
      <c r="C604" t="s">
        <v>250</v>
      </c>
      <c r="D604" t="s">
        <v>241</v>
      </c>
      <c r="E604" t="s">
        <v>32</v>
      </c>
      <c r="F604">
        <v>18</v>
      </c>
      <c r="G604" t="s">
        <v>251</v>
      </c>
      <c r="H604" t="s">
        <v>251</v>
      </c>
      <c r="I604" t="s">
        <v>117</v>
      </c>
      <c r="J604" t="s">
        <v>152</v>
      </c>
      <c r="K604">
        <v>1</v>
      </c>
      <c r="L604">
        <v>899</v>
      </c>
      <c r="M604" s="3">
        <v>0.05</v>
      </c>
      <c r="N604">
        <v>854.05</v>
      </c>
      <c r="O604">
        <v>500</v>
      </c>
      <c r="P604">
        <v>354.05</v>
      </c>
      <c r="Q604" t="s">
        <v>37</v>
      </c>
      <c r="R604" t="s">
        <v>28</v>
      </c>
      <c r="S604">
        <v>1</v>
      </c>
    </row>
    <row r="605" spans="1:19">
      <c r="A605" t="s">
        <v>944</v>
      </c>
      <c r="B605" s="2">
        <v>45997</v>
      </c>
      <c r="C605" t="s">
        <v>103</v>
      </c>
      <c r="D605" t="s">
        <v>104</v>
      </c>
      <c r="E605" t="s">
        <v>32</v>
      </c>
      <c r="F605">
        <v>27</v>
      </c>
      <c r="G605" t="s">
        <v>105</v>
      </c>
      <c r="H605" t="s">
        <v>105</v>
      </c>
      <c r="I605" t="s">
        <v>35</v>
      </c>
      <c r="J605" t="s">
        <v>136</v>
      </c>
      <c r="K605">
        <v>4</v>
      </c>
      <c r="L605">
        <v>799</v>
      </c>
      <c r="M605" s="3">
        <v>0</v>
      </c>
      <c r="N605">
        <v>3196</v>
      </c>
      <c r="O605">
        <v>1800</v>
      </c>
      <c r="P605">
        <v>1396</v>
      </c>
      <c r="Q605" t="s">
        <v>27</v>
      </c>
      <c r="R605" t="s">
        <v>28</v>
      </c>
      <c r="S605">
        <v>2</v>
      </c>
    </row>
    <row r="606" spans="1:19">
      <c r="A606" t="s">
        <v>945</v>
      </c>
      <c r="B606" s="2">
        <v>46152</v>
      </c>
      <c r="C606" t="s">
        <v>413</v>
      </c>
      <c r="D606" t="s">
        <v>414</v>
      </c>
      <c r="E606" t="s">
        <v>22</v>
      </c>
      <c r="F606">
        <v>42</v>
      </c>
      <c r="G606" t="s">
        <v>33</v>
      </c>
      <c r="H606" t="s">
        <v>34</v>
      </c>
      <c r="I606" t="s">
        <v>35</v>
      </c>
      <c r="J606" t="s">
        <v>126</v>
      </c>
      <c r="K606">
        <v>3</v>
      </c>
      <c r="L606">
        <v>1499</v>
      </c>
      <c r="M606" s="3">
        <v>0.2</v>
      </c>
      <c r="N606">
        <v>3597.6</v>
      </c>
      <c r="O606">
        <v>2550</v>
      </c>
      <c r="P606">
        <v>1047.5999999999999</v>
      </c>
      <c r="Q606" t="s">
        <v>50</v>
      </c>
      <c r="R606" t="s">
        <v>28</v>
      </c>
      <c r="S606">
        <v>2</v>
      </c>
    </row>
    <row r="607" spans="1:19">
      <c r="A607" t="s">
        <v>946</v>
      </c>
      <c r="B607" s="2">
        <v>45832</v>
      </c>
      <c r="C607" t="s">
        <v>20</v>
      </c>
      <c r="D607" t="s">
        <v>21</v>
      </c>
      <c r="E607" t="s">
        <v>22</v>
      </c>
      <c r="F607">
        <v>52</v>
      </c>
      <c r="G607" t="s">
        <v>23</v>
      </c>
      <c r="H607" t="s">
        <v>24</v>
      </c>
      <c r="I607" t="s">
        <v>163</v>
      </c>
      <c r="J607" t="s">
        <v>290</v>
      </c>
      <c r="K607">
        <v>1</v>
      </c>
      <c r="L607">
        <v>1999</v>
      </c>
      <c r="M607" s="3">
        <v>0.1</v>
      </c>
      <c r="N607">
        <v>1799.1</v>
      </c>
      <c r="O607">
        <v>1200</v>
      </c>
      <c r="P607">
        <v>599.1</v>
      </c>
      <c r="Q607" t="s">
        <v>69</v>
      </c>
      <c r="R607" t="s">
        <v>28</v>
      </c>
      <c r="S607">
        <v>5</v>
      </c>
    </row>
    <row r="608" spans="1:19">
      <c r="A608" t="s">
        <v>947</v>
      </c>
      <c r="B608" s="2">
        <v>45726</v>
      </c>
      <c r="C608" t="s">
        <v>39</v>
      </c>
      <c r="D608" t="s">
        <v>40</v>
      </c>
      <c r="E608" t="s">
        <v>22</v>
      </c>
      <c r="F608">
        <v>39</v>
      </c>
      <c r="G608" t="s">
        <v>41</v>
      </c>
      <c r="H608" t="s">
        <v>42</v>
      </c>
      <c r="I608" t="s">
        <v>25</v>
      </c>
      <c r="J608" t="s">
        <v>68</v>
      </c>
      <c r="K608">
        <v>4</v>
      </c>
      <c r="L608">
        <v>2999</v>
      </c>
      <c r="M608" s="3">
        <v>0</v>
      </c>
      <c r="N608">
        <v>11996</v>
      </c>
      <c r="O608">
        <v>7600</v>
      </c>
      <c r="P608">
        <v>4396</v>
      </c>
      <c r="Q608" t="s">
        <v>66</v>
      </c>
      <c r="R608" t="s">
        <v>28</v>
      </c>
      <c r="S608">
        <v>3</v>
      </c>
    </row>
    <row r="609" spans="1:19">
      <c r="A609" t="s">
        <v>948</v>
      </c>
      <c r="B609" s="2">
        <v>45894</v>
      </c>
      <c r="C609" t="s">
        <v>453</v>
      </c>
      <c r="D609" t="s">
        <v>454</v>
      </c>
      <c r="E609" t="s">
        <v>32</v>
      </c>
      <c r="F609">
        <v>25</v>
      </c>
      <c r="G609" t="s">
        <v>141</v>
      </c>
      <c r="H609" t="s">
        <v>142</v>
      </c>
      <c r="I609" t="s">
        <v>25</v>
      </c>
      <c r="J609" t="s">
        <v>156</v>
      </c>
      <c r="K609">
        <v>3</v>
      </c>
      <c r="L609">
        <v>1999</v>
      </c>
      <c r="M609" s="3">
        <v>0.15</v>
      </c>
      <c r="N609">
        <v>5097.45</v>
      </c>
      <c r="O609">
        <v>3900</v>
      </c>
      <c r="P609">
        <v>1197.45</v>
      </c>
      <c r="Q609" t="s">
        <v>66</v>
      </c>
      <c r="R609" t="s">
        <v>28</v>
      </c>
      <c r="S609">
        <v>1</v>
      </c>
    </row>
    <row r="610" spans="1:19">
      <c r="A610" t="s">
        <v>949</v>
      </c>
      <c r="B610" s="2">
        <v>45861</v>
      </c>
      <c r="C610" t="s">
        <v>436</v>
      </c>
      <c r="D610" t="s">
        <v>437</v>
      </c>
      <c r="E610" t="s">
        <v>32</v>
      </c>
      <c r="F610">
        <v>44</v>
      </c>
      <c r="G610" t="s">
        <v>73</v>
      </c>
      <c r="H610" t="s">
        <v>74</v>
      </c>
      <c r="I610" t="s">
        <v>35</v>
      </c>
      <c r="J610" t="s">
        <v>36</v>
      </c>
      <c r="K610">
        <v>1</v>
      </c>
      <c r="L610">
        <v>599</v>
      </c>
      <c r="M610" s="3">
        <v>0.05</v>
      </c>
      <c r="N610">
        <v>569.04999999999995</v>
      </c>
      <c r="O610">
        <v>320</v>
      </c>
      <c r="P610">
        <v>249.05</v>
      </c>
      <c r="Q610" t="s">
        <v>50</v>
      </c>
      <c r="R610" t="s">
        <v>51</v>
      </c>
      <c r="S610">
        <v>5</v>
      </c>
    </row>
    <row r="611" spans="1:19">
      <c r="A611" t="s">
        <v>950</v>
      </c>
      <c r="B611" s="2">
        <v>45970</v>
      </c>
      <c r="C611" t="s">
        <v>113</v>
      </c>
      <c r="D611" t="s">
        <v>114</v>
      </c>
      <c r="E611" t="s">
        <v>32</v>
      </c>
      <c r="F611">
        <v>18</v>
      </c>
      <c r="G611" t="s">
        <v>115</v>
      </c>
      <c r="H611" t="s">
        <v>116</v>
      </c>
      <c r="I611" t="s">
        <v>25</v>
      </c>
      <c r="J611" t="s">
        <v>68</v>
      </c>
      <c r="K611">
        <v>2</v>
      </c>
      <c r="L611">
        <v>2999</v>
      </c>
      <c r="M611" s="3">
        <v>0.2</v>
      </c>
      <c r="N611">
        <v>4798.3999999999996</v>
      </c>
      <c r="O611">
        <v>3800</v>
      </c>
      <c r="P611">
        <v>998.4</v>
      </c>
      <c r="Q611" t="s">
        <v>37</v>
      </c>
      <c r="R611" t="s">
        <v>28</v>
      </c>
      <c r="S611">
        <v>2</v>
      </c>
    </row>
    <row r="612" spans="1:19">
      <c r="A612" t="s">
        <v>951</v>
      </c>
      <c r="B612" s="2">
        <v>45967</v>
      </c>
      <c r="C612" t="s">
        <v>20</v>
      </c>
      <c r="D612" t="s">
        <v>21</v>
      </c>
      <c r="E612" t="s">
        <v>22</v>
      </c>
      <c r="F612">
        <v>52</v>
      </c>
      <c r="G612" t="s">
        <v>23</v>
      </c>
      <c r="H612" t="s">
        <v>24</v>
      </c>
      <c r="I612" t="s">
        <v>163</v>
      </c>
      <c r="J612" t="s">
        <v>214</v>
      </c>
      <c r="K612">
        <v>3</v>
      </c>
      <c r="L612">
        <v>1499</v>
      </c>
      <c r="M612" s="3">
        <v>0.1</v>
      </c>
      <c r="N612">
        <v>4047.3</v>
      </c>
      <c r="O612">
        <v>2700</v>
      </c>
      <c r="P612">
        <v>1347.3</v>
      </c>
      <c r="Q612" t="s">
        <v>27</v>
      </c>
      <c r="R612" t="s">
        <v>51</v>
      </c>
      <c r="S612">
        <v>5</v>
      </c>
    </row>
    <row r="613" spans="1:19">
      <c r="A613" t="s">
        <v>952</v>
      </c>
      <c r="B613" s="2">
        <v>45688</v>
      </c>
      <c r="C613" t="s">
        <v>648</v>
      </c>
      <c r="D613" t="s">
        <v>649</v>
      </c>
      <c r="E613" t="s">
        <v>32</v>
      </c>
      <c r="F613">
        <v>34</v>
      </c>
      <c r="G613" t="s">
        <v>23</v>
      </c>
      <c r="H613" t="s">
        <v>24</v>
      </c>
      <c r="I613" t="s">
        <v>25</v>
      </c>
      <c r="J613" t="s">
        <v>68</v>
      </c>
      <c r="K613">
        <v>3</v>
      </c>
      <c r="L613">
        <v>2999</v>
      </c>
      <c r="M613" s="3">
        <v>0.15</v>
      </c>
      <c r="N613">
        <v>7647.45</v>
      </c>
      <c r="O613">
        <v>5700</v>
      </c>
      <c r="P613">
        <v>1947.45</v>
      </c>
      <c r="Q613" t="s">
        <v>50</v>
      </c>
      <c r="R613" t="s">
        <v>77</v>
      </c>
      <c r="S613">
        <v>2</v>
      </c>
    </row>
    <row r="614" spans="1:19">
      <c r="A614" t="s">
        <v>953</v>
      </c>
      <c r="B614" s="2">
        <v>45747</v>
      </c>
      <c r="C614" t="s">
        <v>158</v>
      </c>
      <c r="D614" t="s">
        <v>159</v>
      </c>
      <c r="E614" t="s">
        <v>32</v>
      </c>
      <c r="F614">
        <v>19</v>
      </c>
      <c r="G614" t="s">
        <v>60</v>
      </c>
      <c r="H614" t="s">
        <v>61</v>
      </c>
      <c r="I614" t="s">
        <v>163</v>
      </c>
      <c r="J614" t="s">
        <v>164</v>
      </c>
      <c r="K614">
        <v>4</v>
      </c>
      <c r="L614">
        <v>3499</v>
      </c>
      <c r="M614" s="3">
        <v>0.05</v>
      </c>
      <c r="N614">
        <v>13296.2</v>
      </c>
      <c r="O614">
        <v>8800</v>
      </c>
      <c r="P614">
        <v>4496.2</v>
      </c>
      <c r="Q614" t="s">
        <v>66</v>
      </c>
      <c r="R614" t="s">
        <v>28</v>
      </c>
      <c r="S614">
        <v>5</v>
      </c>
    </row>
    <row r="615" spans="1:19">
      <c r="A615" t="s">
        <v>954</v>
      </c>
      <c r="B615" s="2">
        <v>45814</v>
      </c>
      <c r="C615" t="s">
        <v>183</v>
      </c>
      <c r="D615" t="s">
        <v>184</v>
      </c>
      <c r="E615" t="s">
        <v>22</v>
      </c>
      <c r="F615">
        <v>43</v>
      </c>
      <c r="G615" t="s">
        <v>60</v>
      </c>
      <c r="H615" t="s">
        <v>61</v>
      </c>
      <c r="I615" t="s">
        <v>163</v>
      </c>
      <c r="J615" t="s">
        <v>234</v>
      </c>
      <c r="K615">
        <v>2</v>
      </c>
      <c r="L615">
        <v>999</v>
      </c>
      <c r="M615" s="3">
        <v>0.2</v>
      </c>
      <c r="N615">
        <v>1598.4</v>
      </c>
      <c r="O615">
        <v>1200</v>
      </c>
      <c r="P615">
        <v>398.4</v>
      </c>
      <c r="Q615" t="s">
        <v>66</v>
      </c>
      <c r="R615" t="s">
        <v>51</v>
      </c>
      <c r="S615">
        <v>5</v>
      </c>
    </row>
    <row r="616" spans="1:19">
      <c r="A616" t="s">
        <v>955</v>
      </c>
      <c r="B616" s="2">
        <v>45799</v>
      </c>
      <c r="C616" t="s">
        <v>247</v>
      </c>
      <c r="D616" t="s">
        <v>248</v>
      </c>
      <c r="E616" t="s">
        <v>32</v>
      </c>
      <c r="F616">
        <v>35</v>
      </c>
      <c r="G616" t="s">
        <v>33</v>
      </c>
      <c r="H616" t="s">
        <v>34</v>
      </c>
      <c r="I616" t="s">
        <v>35</v>
      </c>
      <c r="J616" t="s">
        <v>136</v>
      </c>
      <c r="K616">
        <v>2</v>
      </c>
      <c r="L616">
        <v>799</v>
      </c>
      <c r="M616" s="3">
        <v>0.05</v>
      </c>
      <c r="N616">
        <v>1518.1</v>
      </c>
      <c r="O616">
        <v>900</v>
      </c>
      <c r="P616">
        <v>618.1</v>
      </c>
      <c r="Q616" t="s">
        <v>50</v>
      </c>
      <c r="R616" t="s">
        <v>28</v>
      </c>
      <c r="S616">
        <v>2</v>
      </c>
    </row>
    <row r="617" spans="1:19">
      <c r="A617" t="s">
        <v>956</v>
      </c>
      <c r="B617" s="2">
        <v>45806</v>
      </c>
      <c r="C617" t="s">
        <v>359</v>
      </c>
      <c r="D617" t="s">
        <v>360</v>
      </c>
      <c r="E617" t="s">
        <v>32</v>
      </c>
      <c r="F617">
        <v>51</v>
      </c>
      <c r="G617" t="s">
        <v>251</v>
      </c>
      <c r="H617" t="s">
        <v>251</v>
      </c>
      <c r="I617" t="s">
        <v>43</v>
      </c>
      <c r="J617" t="s">
        <v>44</v>
      </c>
      <c r="K617">
        <v>2</v>
      </c>
      <c r="L617">
        <v>1599</v>
      </c>
      <c r="M617" s="3">
        <v>0.15</v>
      </c>
      <c r="N617">
        <v>2718.3</v>
      </c>
      <c r="O617">
        <v>1900</v>
      </c>
      <c r="P617">
        <v>818.3</v>
      </c>
      <c r="Q617" t="s">
        <v>50</v>
      </c>
      <c r="R617" t="s">
        <v>77</v>
      </c>
      <c r="S617">
        <v>3</v>
      </c>
    </row>
    <row r="618" spans="1:19">
      <c r="A618" t="s">
        <v>957</v>
      </c>
      <c r="B618" s="2">
        <v>45983</v>
      </c>
      <c r="C618" t="s">
        <v>670</v>
      </c>
      <c r="D618" t="s">
        <v>671</v>
      </c>
      <c r="E618" t="s">
        <v>22</v>
      </c>
      <c r="F618">
        <v>38</v>
      </c>
      <c r="G618" t="s">
        <v>180</v>
      </c>
      <c r="H618" t="s">
        <v>181</v>
      </c>
      <c r="I618" t="s">
        <v>35</v>
      </c>
      <c r="J618" t="s">
        <v>126</v>
      </c>
      <c r="K618">
        <v>1</v>
      </c>
      <c r="L618">
        <v>1499</v>
      </c>
      <c r="M618" s="3">
        <v>0.05</v>
      </c>
      <c r="N618">
        <v>1424.05</v>
      </c>
      <c r="O618">
        <v>850</v>
      </c>
      <c r="P618">
        <v>574.04999999999995</v>
      </c>
      <c r="Q618" t="s">
        <v>27</v>
      </c>
      <c r="R618" t="s">
        <v>28</v>
      </c>
      <c r="S618">
        <v>3</v>
      </c>
    </row>
    <row r="619" spans="1:19">
      <c r="A619" t="s">
        <v>958</v>
      </c>
      <c r="B619" s="2">
        <v>45938</v>
      </c>
      <c r="C619" t="s">
        <v>270</v>
      </c>
      <c r="D619" t="s">
        <v>271</v>
      </c>
      <c r="E619" t="s">
        <v>22</v>
      </c>
      <c r="F619">
        <v>51</v>
      </c>
      <c r="G619" t="s">
        <v>48</v>
      </c>
      <c r="H619" t="s">
        <v>42</v>
      </c>
      <c r="I619" t="s">
        <v>163</v>
      </c>
      <c r="J619" t="s">
        <v>234</v>
      </c>
      <c r="K619">
        <v>3</v>
      </c>
      <c r="L619">
        <v>999</v>
      </c>
      <c r="M619" s="3">
        <v>0.15</v>
      </c>
      <c r="N619">
        <v>2547.4499999999998</v>
      </c>
      <c r="O619">
        <v>1800</v>
      </c>
      <c r="P619">
        <v>747.45</v>
      </c>
      <c r="Q619" t="s">
        <v>27</v>
      </c>
      <c r="R619" t="s">
        <v>28</v>
      </c>
      <c r="S619">
        <v>1</v>
      </c>
    </row>
    <row r="620" spans="1:19">
      <c r="A620" t="s">
        <v>959</v>
      </c>
      <c r="B620" s="2">
        <v>45931</v>
      </c>
      <c r="C620" t="s">
        <v>342</v>
      </c>
      <c r="D620" t="s">
        <v>343</v>
      </c>
      <c r="E620" t="s">
        <v>22</v>
      </c>
      <c r="F620">
        <v>23</v>
      </c>
      <c r="G620" t="s">
        <v>48</v>
      </c>
      <c r="H620" t="s">
        <v>42</v>
      </c>
      <c r="I620" t="s">
        <v>43</v>
      </c>
      <c r="J620" t="s">
        <v>95</v>
      </c>
      <c r="K620">
        <v>1</v>
      </c>
      <c r="L620">
        <v>2499</v>
      </c>
      <c r="M620" s="3">
        <v>0.2</v>
      </c>
      <c r="N620">
        <v>1999.2</v>
      </c>
      <c r="O620">
        <v>1500</v>
      </c>
      <c r="P620">
        <v>499.2</v>
      </c>
      <c r="Q620" t="s">
        <v>50</v>
      </c>
      <c r="R620" t="s">
        <v>28</v>
      </c>
      <c r="S620">
        <v>2</v>
      </c>
    </row>
    <row r="621" spans="1:19">
      <c r="A621" t="s">
        <v>960</v>
      </c>
      <c r="B621" s="2">
        <v>45739</v>
      </c>
      <c r="C621" t="s">
        <v>97</v>
      </c>
      <c r="D621" t="s">
        <v>98</v>
      </c>
      <c r="E621" t="s">
        <v>22</v>
      </c>
      <c r="F621">
        <v>23</v>
      </c>
      <c r="G621" t="s">
        <v>48</v>
      </c>
      <c r="H621" t="s">
        <v>42</v>
      </c>
      <c r="I621" t="s">
        <v>43</v>
      </c>
      <c r="J621" t="s">
        <v>281</v>
      </c>
      <c r="K621">
        <v>1</v>
      </c>
      <c r="L621">
        <v>2999</v>
      </c>
      <c r="M621" s="3">
        <v>0.1</v>
      </c>
      <c r="N621">
        <v>2699.1</v>
      </c>
      <c r="O621">
        <v>1800</v>
      </c>
      <c r="P621">
        <v>899.1</v>
      </c>
      <c r="Q621" t="s">
        <v>66</v>
      </c>
      <c r="R621" t="s">
        <v>28</v>
      </c>
      <c r="S621">
        <v>5</v>
      </c>
    </row>
    <row r="622" spans="1:19">
      <c r="A622" t="s">
        <v>961</v>
      </c>
      <c r="B622" s="2">
        <v>46054</v>
      </c>
      <c r="C622" t="s">
        <v>224</v>
      </c>
      <c r="D622" t="s">
        <v>225</v>
      </c>
      <c r="E622" t="s">
        <v>32</v>
      </c>
      <c r="F622">
        <v>19</v>
      </c>
      <c r="G622" t="s">
        <v>33</v>
      </c>
      <c r="H622" t="s">
        <v>34</v>
      </c>
      <c r="I622" t="s">
        <v>117</v>
      </c>
      <c r="J622" t="s">
        <v>238</v>
      </c>
      <c r="K622">
        <v>3</v>
      </c>
      <c r="L622">
        <v>2499</v>
      </c>
      <c r="M622" s="3">
        <v>0.05</v>
      </c>
      <c r="N622">
        <v>7122.15</v>
      </c>
      <c r="O622">
        <v>4500</v>
      </c>
      <c r="P622">
        <v>2622.15</v>
      </c>
      <c r="Q622" t="s">
        <v>66</v>
      </c>
      <c r="R622" t="s">
        <v>28</v>
      </c>
      <c r="S622">
        <v>2</v>
      </c>
    </row>
    <row r="623" spans="1:19">
      <c r="A623" t="s">
        <v>962</v>
      </c>
      <c r="B623" s="2">
        <v>45673</v>
      </c>
      <c r="C623" t="s">
        <v>789</v>
      </c>
      <c r="D623" t="s">
        <v>790</v>
      </c>
      <c r="E623" t="s">
        <v>22</v>
      </c>
      <c r="F623">
        <v>21</v>
      </c>
      <c r="G623" t="s">
        <v>141</v>
      </c>
      <c r="H623" t="s">
        <v>142</v>
      </c>
      <c r="I623" t="s">
        <v>43</v>
      </c>
      <c r="J623" t="s">
        <v>281</v>
      </c>
      <c r="K623">
        <v>1</v>
      </c>
      <c r="L623">
        <v>2999</v>
      </c>
      <c r="M623" s="3">
        <v>0.15</v>
      </c>
      <c r="N623">
        <v>2549.15</v>
      </c>
      <c r="O623">
        <v>1800</v>
      </c>
      <c r="P623">
        <v>749.15</v>
      </c>
      <c r="Q623" t="s">
        <v>37</v>
      </c>
      <c r="R623" t="s">
        <v>51</v>
      </c>
      <c r="S623">
        <v>2</v>
      </c>
    </row>
    <row r="624" spans="1:19">
      <c r="A624" t="s">
        <v>963</v>
      </c>
      <c r="B624" s="2">
        <v>46107</v>
      </c>
      <c r="C624" t="s">
        <v>216</v>
      </c>
      <c r="D624" t="s">
        <v>217</v>
      </c>
      <c r="E624" t="s">
        <v>22</v>
      </c>
      <c r="F624">
        <v>43</v>
      </c>
      <c r="G624" t="s">
        <v>115</v>
      </c>
      <c r="H624" t="s">
        <v>116</v>
      </c>
      <c r="I624" t="s">
        <v>43</v>
      </c>
      <c r="J624" t="s">
        <v>49</v>
      </c>
      <c r="K624">
        <v>1</v>
      </c>
      <c r="L624">
        <v>799</v>
      </c>
      <c r="M624" s="3">
        <v>0.05</v>
      </c>
      <c r="N624">
        <v>759.05</v>
      </c>
      <c r="O624">
        <v>450</v>
      </c>
      <c r="P624">
        <v>309.05</v>
      </c>
      <c r="Q624" t="s">
        <v>50</v>
      </c>
      <c r="R624" t="s">
        <v>28</v>
      </c>
      <c r="S624">
        <v>3</v>
      </c>
    </row>
    <row r="625" spans="1:19">
      <c r="A625" t="s">
        <v>964</v>
      </c>
      <c r="B625" s="2">
        <v>45700</v>
      </c>
      <c r="C625" t="s">
        <v>195</v>
      </c>
      <c r="D625" t="s">
        <v>196</v>
      </c>
      <c r="E625" t="s">
        <v>22</v>
      </c>
      <c r="F625">
        <v>54</v>
      </c>
      <c r="G625" t="s">
        <v>73</v>
      </c>
      <c r="H625" t="s">
        <v>74</v>
      </c>
      <c r="I625" t="s">
        <v>43</v>
      </c>
      <c r="J625" t="s">
        <v>281</v>
      </c>
      <c r="K625">
        <v>4</v>
      </c>
      <c r="L625">
        <v>2999</v>
      </c>
      <c r="M625" s="3">
        <v>0.15</v>
      </c>
      <c r="N625">
        <v>10196.6</v>
      </c>
      <c r="O625">
        <v>7200</v>
      </c>
      <c r="P625">
        <v>2996.6</v>
      </c>
      <c r="Q625" t="s">
        <v>50</v>
      </c>
      <c r="R625" t="s">
        <v>28</v>
      </c>
      <c r="S625">
        <v>4</v>
      </c>
    </row>
    <row r="626" spans="1:19">
      <c r="A626" t="s">
        <v>965</v>
      </c>
      <c r="B626" s="2">
        <v>45769</v>
      </c>
      <c r="C626" t="s">
        <v>436</v>
      </c>
      <c r="D626" t="s">
        <v>437</v>
      </c>
      <c r="E626" t="s">
        <v>32</v>
      </c>
      <c r="F626">
        <v>44</v>
      </c>
      <c r="G626" t="s">
        <v>73</v>
      </c>
      <c r="H626" t="s">
        <v>74</v>
      </c>
      <c r="I626" t="s">
        <v>163</v>
      </c>
      <c r="J626" t="s">
        <v>290</v>
      </c>
      <c r="K626">
        <v>1</v>
      </c>
      <c r="L626">
        <v>1999</v>
      </c>
      <c r="M626" s="3">
        <v>0.2</v>
      </c>
      <c r="N626">
        <v>1599.2</v>
      </c>
      <c r="O626">
        <v>1200</v>
      </c>
      <c r="P626">
        <v>399.2</v>
      </c>
      <c r="Q626" t="s">
        <v>66</v>
      </c>
      <c r="R626" t="s">
        <v>28</v>
      </c>
      <c r="S626">
        <v>1</v>
      </c>
    </row>
    <row r="627" spans="1:19">
      <c r="A627" t="s">
        <v>966</v>
      </c>
      <c r="B627" s="2">
        <v>46229</v>
      </c>
      <c r="C627" t="s">
        <v>189</v>
      </c>
      <c r="D627" t="s">
        <v>190</v>
      </c>
      <c r="E627" t="s">
        <v>32</v>
      </c>
      <c r="F627">
        <v>22</v>
      </c>
      <c r="G627" t="s">
        <v>115</v>
      </c>
      <c r="H627" t="s">
        <v>116</v>
      </c>
      <c r="I627" t="s">
        <v>35</v>
      </c>
      <c r="J627" t="s">
        <v>108</v>
      </c>
      <c r="K627">
        <v>4</v>
      </c>
      <c r="L627">
        <v>699</v>
      </c>
      <c r="M627" s="3">
        <v>0</v>
      </c>
      <c r="N627">
        <v>2796</v>
      </c>
      <c r="O627">
        <v>1520</v>
      </c>
      <c r="P627">
        <v>1276</v>
      </c>
      <c r="Q627" t="s">
        <v>66</v>
      </c>
      <c r="R627" t="s">
        <v>28</v>
      </c>
      <c r="S627">
        <v>1</v>
      </c>
    </row>
    <row r="628" spans="1:19">
      <c r="A628" t="s">
        <v>967</v>
      </c>
      <c r="B628" s="2">
        <v>45969</v>
      </c>
      <c r="C628" t="s">
        <v>603</v>
      </c>
      <c r="D628" t="s">
        <v>604</v>
      </c>
      <c r="E628" t="s">
        <v>32</v>
      </c>
      <c r="F628">
        <v>33</v>
      </c>
      <c r="G628" t="s">
        <v>41</v>
      </c>
      <c r="H628" t="s">
        <v>42</v>
      </c>
      <c r="I628" t="s">
        <v>43</v>
      </c>
      <c r="J628" t="s">
        <v>44</v>
      </c>
      <c r="K628">
        <v>4</v>
      </c>
      <c r="L628">
        <v>1599</v>
      </c>
      <c r="M628" s="3">
        <v>0.15</v>
      </c>
      <c r="N628">
        <v>5436.6</v>
      </c>
      <c r="O628">
        <v>3800</v>
      </c>
      <c r="P628">
        <v>1636.6</v>
      </c>
      <c r="Q628" t="s">
        <v>37</v>
      </c>
      <c r="R628" t="s">
        <v>28</v>
      </c>
      <c r="S628">
        <v>4</v>
      </c>
    </row>
    <row r="629" spans="1:19">
      <c r="A629" t="s">
        <v>968</v>
      </c>
      <c r="B629" s="2">
        <v>45803</v>
      </c>
      <c r="C629" t="s">
        <v>204</v>
      </c>
      <c r="D629" t="s">
        <v>205</v>
      </c>
      <c r="E629" t="s">
        <v>22</v>
      </c>
      <c r="F629">
        <v>45</v>
      </c>
      <c r="G629" t="s">
        <v>81</v>
      </c>
      <c r="H629" t="s">
        <v>82</v>
      </c>
      <c r="I629" t="s">
        <v>75</v>
      </c>
      <c r="J629" t="s">
        <v>106</v>
      </c>
      <c r="K629">
        <v>1</v>
      </c>
      <c r="L629">
        <v>899</v>
      </c>
      <c r="M629" s="3">
        <v>0.2</v>
      </c>
      <c r="N629">
        <v>719.2</v>
      </c>
      <c r="O629">
        <v>600</v>
      </c>
      <c r="P629">
        <v>119.2</v>
      </c>
      <c r="Q629" t="s">
        <v>66</v>
      </c>
      <c r="R629" t="s">
        <v>137</v>
      </c>
      <c r="S629">
        <v>4</v>
      </c>
    </row>
    <row r="630" spans="1:19">
      <c r="A630" t="s">
        <v>969</v>
      </c>
      <c r="B630" s="2">
        <v>46257</v>
      </c>
      <c r="C630" t="s">
        <v>637</v>
      </c>
      <c r="D630" t="s">
        <v>638</v>
      </c>
      <c r="E630" t="s">
        <v>22</v>
      </c>
      <c r="F630">
        <v>25</v>
      </c>
      <c r="G630" t="s">
        <v>141</v>
      </c>
      <c r="H630" t="s">
        <v>142</v>
      </c>
      <c r="I630" t="s">
        <v>117</v>
      </c>
      <c r="J630" t="s">
        <v>152</v>
      </c>
      <c r="K630">
        <v>1</v>
      </c>
      <c r="L630">
        <v>899</v>
      </c>
      <c r="M630" s="3">
        <v>0.05</v>
      </c>
      <c r="N630">
        <v>854.05</v>
      </c>
      <c r="O630">
        <v>500</v>
      </c>
      <c r="P630">
        <v>354.05</v>
      </c>
      <c r="Q630" t="s">
        <v>50</v>
      </c>
      <c r="R630" t="s">
        <v>28</v>
      </c>
      <c r="S630">
        <v>4</v>
      </c>
    </row>
    <row r="631" spans="1:19">
      <c r="A631" t="s">
        <v>970</v>
      </c>
      <c r="B631" s="2">
        <v>46122</v>
      </c>
      <c r="C631" t="s">
        <v>110</v>
      </c>
      <c r="D631" t="s">
        <v>111</v>
      </c>
      <c r="E631" t="s">
        <v>22</v>
      </c>
      <c r="F631">
        <v>47</v>
      </c>
      <c r="G631" t="s">
        <v>48</v>
      </c>
      <c r="H631" t="s">
        <v>42</v>
      </c>
      <c r="I631" t="s">
        <v>35</v>
      </c>
      <c r="J631" t="s">
        <v>136</v>
      </c>
      <c r="K631">
        <v>1</v>
      </c>
      <c r="L631">
        <v>799</v>
      </c>
      <c r="M631" s="3">
        <v>0.05</v>
      </c>
      <c r="N631">
        <v>759.05</v>
      </c>
      <c r="O631">
        <v>450</v>
      </c>
      <c r="P631">
        <v>309.05</v>
      </c>
      <c r="Q631" t="s">
        <v>50</v>
      </c>
      <c r="R631" t="s">
        <v>77</v>
      </c>
      <c r="S631">
        <v>2</v>
      </c>
    </row>
    <row r="632" spans="1:19">
      <c r="A632" t="s">
        <v>971</v>
      </c>
      <c r="B632" s="2">
        <v>45825</v>
      </c>
      <c r="C632" t="s">
        <v>161</v>
      </c>
      <c r="D632" t="s">
        <v>162</v>
      </c>
      <c r="E632" t="s">
        <v>22</v>
      </c>
      <c r="F632">
        <v>44</v>
      </c>
      <c r="G632" t="s">
        <v>146</v>
      </c>
      <c r="H632" t="s">
        <v>61</v>
      </c>
      <c r="I632" t="s">
        <v>25</v>
      </c>
      <c r="J632" t="s">
        <v>26</v>
      </c>
      <c r="K632">
        <v>3</v>
      </c>
      <c r="L632">
        <v>2499</v>
      </c>
      <c r="M632" s="3">
        <v>0.1</v>
      </c>
      <c r="N632">
        <v>6747.3</v>
      </c>
      <c r="O632">
        <v>4800</v>
      </c>
      <c r="P632">
        <v>1947.3</v>
      </c>
      <c r="Q632" t="s">
        <v>69</v>
      </c>
      <c r="R632" t="s">
        <v>28</v>
      </c>
      <c r="S632">
        <v>4</v>
      </c>
    </row>
    <row r="633" spans="1:19">
      <c r="A633" t="s">
        <v>972</v>
      </c>
      <c r="B633" s="2">
        <v>45821</v>
      </c>
      <c r="C633" t="s">
        <v>131</v>
      </c>
      <c r="D633" t="s">
        <v>132</v>
      </c>
      <c r="E633" t="s">
        <v>32</v>
      </c>
      <c r="F633">
        <v>44</v>
      </c>
      <c r="G633" t="s">
        <v>23</v>
      </c>
      <c r="H633" t="s">
        <v>24</v>
      </c>
      <c r="I633" t="s">
        <v>25</v>
      </c>
      <c r="J633" t="s">
        <v>26</v>
      </c>
      <c r="K633">
        <v>4</v>
      </c>
      <c r="L633">
        <v>2499</v>
      </c>
      <c r="M633" s="3">
        <v>0.2</v>
      </c>
      <c r="N633">
        <v>7996.8</v>
      </c>
      <c r="O633">
        <v>6400</v>
      </c>
      <c r="P633">
        <v>1596.8</v>
      </c>
      <c r="Q633" t="s">
        <v>66</v>
      </c>
      <c r="R633" t="s">
        <v>28</v>
      </c>
      <c r="S633">
        <v>1</v>
      </c>
    </row>
    <row r="634" spans="1:19">
      <c r="A634" t="s">
        <v>973</v>
      </c>
      <c r="B634" s="2">
        <v>45806</v>
      </c>
      <c r="C634" t="s">
        <v>407</v>
      </c>
      <c r="D634" t="s">
        <v>408</v>
      </c>
      <c r="E634" t="s">
        <v>32</v>
      </c>
      <c r="F634">
        <v>44</v>
      </c>
      <c r="G634" t="s">
        <v>48</v>
      </c>
      <c r="H634" t="s">
        <v>42</v>
      </c>
      <c r="I634" t="s">
        <v>163</v>
      </c>
      <c r="J634" t="s">
        <v>164</v>
      </c>
      <c r="K634">
        <v>2</v>
      </c>
      <c r="L634">
        <v>3499</v>
      </c>
      <c r="M634" s="3">
        <v>0.05</v>
      </c>
      <c r="N634">
        <v>6648.1</v>
      </c>
      <c r="O634">
        <v>4400</v>
      </c>
      <c r="P634">
        <v>2248.1</v>
      </c>
      <c r="Q634" t="s">
        <v>27</v>
      </c>
      <c r="R634" t="s">
        <v>28</v>
      </c>
      <c r="S634">
        <v>1</v>
      </c>
    </row>
    <row r="635" spans="1:19">
      <c r="A635" t="s">
        <v>974</v>
      </c>
      <c r="B635" s="2">
        <v>45953</v>
      </c>
      <c r="C635" t="s">
        <v>475</v>
      </c>
      <c r="D635" t="s">
        <v>476</v>
      </c>
      <c r="E635" t="s">
        <v>32</v>
      </c>
      <c r="F635">
        <v>51</v>
      </c>
      <c r="G635" t="s">
        <v>141</v>
      </c>
      <c r="H635" t="s">
        <v>142</v>
      </c>
      <c r="I635" t="s">
        <v>43</v>
      </c>
      <c r="J635" t="s">
        <v>44</v>
      </c>
      <c r="K635">
        <v>3</v>
      </c>
      <c r="L635">
        <v>1599</v>
      </c>
      <c r="M635" s="3">
        <v>0.15</v>
      </c>
      <c r="N635">
        <v>4077.45</v>
      </c>
      <c r="O635">
        <v>2850</v>
      </c>
      <c r="P635">
        <v>1227.45</v>
      </c>
      <c r="Q635" t="s">
        <v>27</v>
      </c>
      <c r="R635" t="s">
        <v>28</v>
      </c>
      <c r="S635">
        <v>2</v>
      </c>
    </row>
    <row r="636" spans="1:19">
      <c r="A636" t="s">
        <v>975</v>
      </c>
      <c r="B636" s="2">
        <v>46127</v>
      </c>
      <c r="C636" t="s">
        <v>216</v>
      </c>
      <c r="D636" t="s">
        <v>217</v>
      </c>
      <c r="E636" t="s">
        <v>22</v>
      </c>
      <c r="F636">
        <v>43</v>
      </c>
      <c r="G636" t="s">
        <v>115</v>
      </c>
      <c r="H636" t="s">
        <v>116</v>
      </c>
      <c r="I636" t="s">
        <v>25</v>
      </c>
      <c r="J636" t="s">
        <v>156</v>
      </c>
      <c r="K636">
        <v>3</v>
      </c>
      <c r="L636">
        <v>1999</v>
      </c>
      <c r="M636" s="3">
        <v>0</v>
      </c>
      <c r="N636">
        <v>5997</v>
      </c>
      <c r="O636">
        <v>3900</v>
      </c>
      <c r="P636">
        <v>2097</v>
      </c>
      <c r="Q636" t="s">
        <v>66</v>
      </c>
      <c r="R636" t="s">
        <v>137</v>
      </c>
      <c r="S636">
        <v>1</v>
      </c>
    </row>
    <row r="637" spans="1:19">
      <c r="A637" t="s">
        <v>976</v>
      </c>
      <c r="B637" s="2">
        <v>46145</v>
      </c>
      <c r="C637" t="s">
        <v>230</v>
      </c>
      <c r="D637" t="s">
        <v>231</v>
      </c>
      <c r="E637" t="s">
        <v>32</v>
      </c>
      <c r="F637">
        <v>35</v>
      </c>
      <c r="G637" t="s">
        <v>55</v>
      </c>
      <c r="H637" t="s">
        <v>34</v>
      </c>
      <c r="I637" t="s">
        <v>43</v>
      </c>
      <c r="J637" t="s">
        <v>281</v>
      </c>
      <c r="K637">
        <v>2</v>
      </c>
      <c r="L637">
        <v>2999</v>
      </c>
      <c r="M637" s="3">
        <v>0.2</v>
      </c>
      <c r="N637">
        <v>4798.3999999999996</v>
      </c>
      <c r="O637">
        <v>3600</v>
      </c>
      <c r="P637">
        <v>1198.4000000000001</v>
      </c>
      <c r="Q637" t="s">
        <v>66</v>
      </c>
      <c r="R637" t="s">
        <v>28</v>
      </c>
      <c r="S637">
        <v>1</v>
      </c>
    </row>
    <row r="638" spans="1:19">
      <c r="A638" t="s">
        <v>977</v>
      </c>
      <c r="B638" s="2">
        <v>46228</v>
      </c>
      <c r="C638" t="s">
        <v>300</v>
      </c>
      <c r="D638" t="s">
        <v>301</v>
      </c>
      <c r="E638" t="s">
        <v>22</v>
      </c>
      <c r="F638">
        <v>24</v>
      </c>
      <c r="G638" t="s">
        <v>48</v>
      </c>
      <c r="H638" t="s">
        <v>42</v>
      </c>
      <c r="I638" t="s">
        <v>43</v>
      </c>
      <c r="J638" t="s">
        <v>281</v>
      </c>
      <c r="K638">
        <v>3</v>
      </c>
      <c r="L638">
        <v>2999</v>
      </c>
      <c r="M638" s="3">
        <v>0.2</v>
      </c>
      <c r="N638">
        <v>7197.6</v>
      </c>
      <c r="O638">
        <v>5400</v>
      </c>
      <c r="P638">
        <v>1797.6</v>
      </c>
      <c r="Q638" t="s">
        <v>27</v>
      </c>
      <c r="R638" t="s">
        <v>28</v>
      </c>
      <c r="S638">
        <v>2</v>
      </c>
    </row>
    <row r="639" spans="1:19">
      <c r="A639" t="s">
        <v>978</v>
      </c>
      <c r="B639" s="2">
        <v>45806</v>
      </c>
      <c r="C639" t="s">
        <v>384</v>
      </c>
      <c r="D639" t="s">
        <v>385</v>
      </c>
      <c r="E639" t="s">
        <v>32</v>
      </c>
      <c r="F639">
        <v>22</v>
      </c>
      <c r="G639" t="s">
        <v>48</v>
      </c>
      <c r="H639" t="s">
        <v>42</v>
      </c>
      <c r="I639" t="s">
        <v>75</v>
      </c>
      <c r="J639" t="s">
        <v>76</v>
      </c>
      <c r="K639">
        <v>3</v>
      </c>
      <c r="L639">
        <v>399</v>
      </c>
      <c r="M639" s="3">
        <v>0</v>
      </c>
      <c r="N639">
        <v>1197</v>
      </c>
      <c r="O639">
        <v>660</v>
      </c>
      <c r="P639">
        <v>537</v>
      </c>
      <c r="Q639" t="s">
        <v>69</v>
      </c>
      <c r="R639" t="s">
        <v>28</v>
      </c>
      <c r="S639">
        <v>5</v>
      </c>
    </row>
    <row r="640" spans="1:19">
      <c r="A640" t="s">
        <v>979</v>
      </c>
      <c r="B640" s="2">
        <v>45769</v>
      </c>
      <c r="C640" t="s">
        <v>84</v>
      </c>
      <c r="D640" t="s">
        <v>85</v>
      </c>
      <c r="E640" t="s">
        <v>32</v>
      </c>
      <c r="F640">
        <v>20</v>
      </c>
      <c r="G640" t="s">
        <v>41</v>
      </c>
      <c r="H640" t="s">
        <v>42</v>
      </c>
      <c r="I640" t="s">
        <v>163</v>
      </c>
      <c r="J640" t="s">
        <v>164</v>
      </c>
      <c r="K640">
        <v>1</v>
      </c>
      <c r="L640">
        <v>3499</v>
      </c>
      <c r="M640" s="3">
        <v>0</v>
      </c>
      <c r="N640">
        <v>3499</v>
      </c>
      <c r="O640">
        <v>2200</v>
      </c>
      <c r="P640">
        <v>1299</v>
      </c>
      <c r="Q640" t="s">
        <v>66</v>
      </c>
      <c r="R640" t="s">
        <v>51</v>
      </c>
      <c r="S640">
        <v>2</v>
      </c>
    </row>
    <row r="641" spans="1:19">
      <c r="A641" t="s">
        <v>980</v>
      </c>
      <c r="B641" s="2">
        <v>46250</v>
      </c>
      <c r="C641" t="s">
        <v>53</v>
      </c>
      <c r="D641" t="s">
        <v>54</v>
      </c>
      <c r="E641" t="s">
        <v>22</v>
      </c>
      <c r="F641">
        <v>34</v>
      </c>
      <c r="G641" t="s">
        <v>55</v>
      </c>
      <c r="H641" t="s">
        <v>34</v>
      </c>
      <c r="I641" t="s">
        <v>75</v>
      </c>
      <c r="J641" t="s">
        <v>106</v>
      </c>
      <c r="K641">
        <v>2</v>
      </c>
      <c r="L641">
        <v>899</v>
      </c>
      <c r="M641" s="3">
        <v>0.15</v>
      </c>
      <c r="N641">
        <v>1528.3</v>
      </c>
      <c r="O641">
        <v>1200</v>
      </c>
      <c r="P641">
        <v>328.3</v>
      </c>
      <c r="Q641" t="s">
        <v>37</v>
      </c>
      <c r="R641" t="s">
        <v>77</v>
      </c>
      <c r="S641">
        <v>1</v>
      </c>
    </row>
    <row r="642" spans="1:19">
      <c r="A642" t="s">
        <v>981</v>
      </c>
      <c r="B642" s="2">
        <v>45727</v>
      </c>
      <c r="C642" t="s">
        <v>84</v>
      </c>
      <c r="D642" t="s">
        <v>85</v>
      </c>
      <c r="E642" t="s">
        <v>32</v>
      </c>
      <c r="F642">
        <v>20</v>
      </c>
      <c r="G642" t="s">
        <v>41</v>
      </c>
      <c r="H642" t="s">
        <v>42</v>
      </c>
      <c r="I642" t="s">
        <v>163</v>
      </c>
      <c r="J642" t="s">
        <v>164</v>
      </c>
      <c r="K642">
        <v>3</v>
      </c>
      <c r="L642">
        <v>3499</v>
      </c>
      <c r="M642" s="3">
        <v>0.15</v>
      </c>
      <c r="N642">
        <v>8922.4500000000007</v>
      </c>
      <c r="O642">
        <v>6600</v>
      </c>
      <c r="P642">
        <v>2322.4499999999998</v>
      </c>
      <c r="Q642" t="s">
        <v>66</v>
      </c>
      <c r="R642" t="s">
        <v>137</v>
      </c>
      <c r="S642">
        <v>1</v>
      </c>
    </row>
    <row r="643" spans="1:19">
      <c r="A643" t="s">
        <v>982</v>
      </c>
      <c r="B643" s="2">
        <v>45939</v>
      </c>
      <c r="C643" t="s">
        <v>623</v>
      </c>
      <c r="D643" t="s">
        <v>624</v>
      </c>
      <c r="E643" t="s">
        <v>22</v>
      </c>
      <c r="F643">
        <v>52</v>
      </c>
      <c r="G643" t="s">
        <v>60</v>
      </c>
      <c r="H643" t="s">
        <v>61</v>
      </c>
      <c r="I643" t="s">
        <v>35</v>
      </c>
      <c r="J643" t="s">
        <v>36</v>
      </c>
      <c r="K643">
        <v>2</v>
      </c>
      <c r="L643">
        <v>599</v>
      </c>
      <c r="M643" s="3">
        <v>0</v>
      </c>
      <c r="N643">
        <v>1198</v>
      </c>
      <c r="O643">
        <v>640</v>
      </c>
      <c r="P643">
        <v>558</v>
      </c>
      <c r="Q643" t="s">
        <v>37</v>
      </c>
      <c r="R643" t="s">
        <v>28</v>
      </c>
      <c r="S643">
        <v>5</v>
      </c>
    </row>
    <row r="644" spans="1:19">
      <c r="A644" t="s">
        <v>983</v>
      </c>
      <c r="B644" s="2">
        <v>45717</v>
      </c>
      <c r="C644" t="s">
        <v>88</v>
      </c>
      <c r="D644" t="s">
        <v>89</v>
      </c>
      <c r="E644" t="s">
        <v>32</v>
      </c>
      <c r="F644">
        <v>53</v>
      </c>
      <c r="G644" t="s">
        <v>41</v>
      </c>
      <c r="H644" t="s">
        <v>42</v>
      </c>
      <c r="I644" t="s">
        <v>117</v>
      </c>
      <c r="J644" t="s">
        <v>238</v>
      </c>
      <c r="K644">
        <v>2</v>
      </c>
      <c r="L644">
        <v>2499</v>
      </c>
      <c r="M644" s="3">
        <v>0.2</v>
      </c>
      <c r="N644">
        <v>3998.4</v>
      </c>
      <c r="O644">
        <v>3000</v>
      </c>
      <c r="P644">
        <v>998.4</v>
      </c>
      <c r="Q644" t="s">
        <v>69</v>
      </c>
      <c r="R644" t="s">
        <v>28</v>
      </c>
      <c r="S644">
        <v>5</v>
      </c>
    </row>
    <row r="645" spans="1:19">
      <c r="A645" t="s">
        <v>984</v>
      </c>
      <c r="B645" s="2">
        <v>45982</v>
      </c>
      <c r="C645" t="s">
        <v>692</v>
      </c>
      <c r="D645" t="s">
        <v>343</v>
      </c>
      <c r="E645" t="s">
        <v>22</v>
      </c>
      <c r="F645">
        <v>50</v>
      </c>
      <c r="G645" t="s">
        <v>48</v>
      </c>
      <c r="H645" t="s">
        <v>42</v>
      </c>
      <c r="I645" t="s">
        <v>35</v>
      </c>
      <c r="J645" t="s">
        <v>36</v>
      </c>
      <c r="K645">
        <v>3</v>
      </c>
      <c r="L645">
        <v>599</v>
      </c>
      <c r="M645" s="3">
        <v>0.15</v>
      </c>
      <c r="N645">
        <v>1527.45</v>
      </c>
      <c r="O645">
        <v>960</v>
      </c>
      <c r="P645">
        <v>567.45000000000005</v>
      </c>
      <c r="Q645" t="s">
        <v>37</v>
      </c>
      <c r="R645" t="s">
        <v>28</v>
      </c>
      <c r="S645">
        <v>5</v>
      </c>
    </row>
    <row r="646" spans="1:19">
      <c r="A646" t="s">
        <v>985</v>
      </c>
      <c r="B646" s="2">
        <v>46167</v>
      </c>
      <c r="C646" t="s">
        <v>986</v>
      </c>
      <c r="D646" t="s">
        <v>987</v>
      </c>
      <c r="E646" t="s">
        <v>22</v>
      </c>
      <c r="F646">
        <v>41</v>
      </c>
      <c r="G646" t="s">
        <v>105</v>
      </c>
      <c r="H646" t="s">
        <v>105</v>
      </c>
      <c r="I646" t="s">
        <v>25</v>
      </c>
      <c r="J646" t="s">
        <v>62</v>
      </c>
      <c r="K646">
        <v>4</v>
      </c>
      <c r="L646">
        <v>1299</v>
      </c>
      <c r="M646" s="3">
        <v>0.2</v>
      </c>
      <c r="N646">
        <v>4156.8</v>
      </c>
      <c r="O646">
        <v>3200</v>
      </c>
      <c r="P646">
        <v>956.8</v>
      </c>
      <c r="Q646" t="s">
        <v>66</v>
      </c>
      <c r="R646" t="s">
        <v>137</v>
      </c>
      <c r="S646">
        <v>2</v>
      </c>
    </row>
    <row r="647" spans="1:19">
      <c r="A647" t="s">
        <v>988</v>
      </c>
      <c r="B647" s="2">
        <v>45682</v>
      </c>
      <c r="C647" t="s">
        <v>623</v>
      </c>
      <c r="D647" t="s">
        <v>624</v>
      </c>
      <c r="E647" t="s">
        <v>22</v>
      </c>
      <c r="F647">
        <v>52</v>
      </c>
      <c r="G647" t="s">
        <v>60</v>
      </c>
      <c r="H647" t="s">
        <v>61</v>
      </c>
      <c r="I647" t="s">
        <v>43</v>
      </c>
      <c r="J647" t="s">
        <v>49</v>
      </c>
      <c r="K647">
        <v>1</v>
      </c>
      <c r="L647">
        <v>799</v>
      </c>
      <c r="M647" s="3">
        <v>0</v>
      </c>
      <c r="N647">
        <v>799</v>
      </c>
      <c r="O647">
        <v>450</v>
      </c>
      <c r="P647">
        <v>349</v>
      </c>
      <c r="Q647" t="s">
        <v>66</v>
      </c>
      <c r="R647" t="s">
        <v>28</v>
      </c>
      <c r="S647">
        <v>1</v>
      </c>
    </row>
    <row r="648" spans="1:19">
      <c r="A648" t="s">
        <v>989</v>
      </c>
      <c r="B648" s="2">
        <v>45704</v>
      </c>
      <c r="C648" t="s">
        <v>88</v>
      </c>
      <c r="D648" t="s">
        <v>89</v>
      </c>
      <c r="E648" t="s">
        <v>32</v>
      </c>
      <c r="F648">
        <v>53</v>
      </c>
      <c r="G648" t="s">
        <v>41</v>
      </c>
      <c r="H648" t="s">
        <v>42</v>
      </c>
      <c r="I648" t="s">
        <v>75</v>
      </c>
      <c r="J648" t="s">
        <v>106</v>
      </c>
      <c r="K648">
        <v>4</v>
      </c>
      <c r="L648">
        <v>899</v>
      </c>
      <c r="M648" s="3">
        <v>0.15</v>
      </c>
      <c r="N648">
        <v>3056.6</v>
      </c>
      <c r="O648">
        <v>2400</v>
      </c>
      <c r="P648">
        <v>656.6</v>
      </c>
      <c r="Q648" t="s">
        <v>37</v>
      </c>
      <c r="R648" t="s">
        <v>28</v>
      </c>
      <c r="S648">
        <v>2</v>
      </c>
    </row>
    <row r="649" spans="1:19">
      <c r="A649" t="s">
        <v>990</v>
      </c>
      <c r="B649" s="2">
        <v>45918</v>
      </c>
      <c r="C649" t="s">
        <v>847</v>
      </c>
      <c r="D649" t="s">
        <v>135</v>
      </c>
      <c r="E649" t="s">
        <v>32</v>
      </c>
      <c r="F649">
        <v>20</v>
      </c>
      <c r="G649" t="s">
        <v>81</v>
      </c>
      <c r="H649" t="s">
        <v>82</v>
      </c>
      <c r="I649" t="s">
        <v>75</v>
      </c>
      <c r="J649" t="s">
        <v>76</v>
      </c>
      <c r="K649">
        <v>2</v>
      </c>
      <c r="L649">
        <v>399</v>
      </c>
      <c r="M649" s="3">
        <v>0.1</v>
      </c>
      <c r="N649">
        <v>718.2</v>
      </c>
      <c r="O649">
        <v>440</v>
      </c>
      <c r="P649">
        <v>278.2</v>
      </c>
      <c r="Q649" t="s">
        <v>69</v>
      </c>
      <c r="R649" t="s">
        <v>28</v>
      </c>
      <c r="S649">
        <v>5</v>
      </c>
    </row>
    <row r="650" spans="1:19">
      <c r="A650" t="s">
        <v>991</v>
      </c>
      <c r="B650" s="2">
        <v>45999</v>
      </c>
      <c r="C650" t="s">
        <v>397</v>
      </c>
      <c r="D650" t="s">
        <v>284</v>
      </c>
      <c r="E650" t="s">
        <v>22</v>
      </c>
      <c r="F650">
        <v>51</v>
      </c>
      <c r="G650" t="s">
        <v>33</v>
      </c>
      <c r="H650" t="s">
        <v>34</v>
      </c>
      <c r="I650" t="s">
        <v>163</v>
      </c>
      <c r="J650" t="s">
        <v>164</v>
      </c>
      <c r="K650">
        <v>1</v>
      </c>
      <c r="L650">
        <v>3499</v>
      </c>
      <c r="M650" s="3">
        <v>0</v>
      </c>
      <c r="N650">
        <v>3499</v>
      </c>
      <c r="O650">
        <v>2200</v>
      </c>
      <c r="P650">
        <v>1299</v>
      </c>
      <c r="Q650" t="s">
        <v>37</v>
      </c>
      <c r="R650" t="s">
        <v>28</v>
      </c>
      <c r="S650">
        <v>5</v>
      </c>
    </row>
    <row r="651" spans="1:19">
      <c r="A651" t="s">
        <v>992</v>
      </c>
      <c r="B651" s="2">
        <v>46004</v>
      </c>
      <c r="C651" t="s">
        <v>186</v>
      </c>
      <c r="D651" t="s">
        <v>187</v>
      </c>
      <c r="E651" t="s">
        <v>22</v>
      </c>
      <c r="F651">
        <v>42</v>
      </c>
      <c r="G651" t="s">
        <v>60</v>
      </c>
      <c r="H651" t="s">
        <v>61</v>
      </c>
      <c r="I651" t="s">
        <v>43</v>
      </c>
      <c r="J651" t="s">
        <v>95</v>
      </c>
      <c r="K651">
        <v>2</v>
      </c>
      <c r="L651">
        <v>2499</v>
      </c>
      <c r="M651" s="3">
        <v>0.1</v>
      </c>
      <c r="N651">
        <v>4498.2</v>
      </c>
      <c r="O651">
        <v>3000</v>
      </c>
      <c r="P651">
        <v>1498.2</v>
      </c>
      <c r="Q651" t="s">
        <v>66</v>
      </c>
      <c r="R651" t="s">
        <v>77</v>
      </c>
      <c r="S651">
        <v>1</v>
      </c>
    </row>
    <row r="652" spans="1:19">
      <c r="A652" t="s">
        <v>993</v>
      </c>
      <c r="B652" s="2">
        <v>46207</v>
      </c>
      <c r="C652" t="s">
        <v>422</v>
      </c>
      <c r="D652" t="s">
        <v>423</v>
      </c>
      <c r="E652" t="s">
        <v>22</v>
      </c>
      <c r="F652">
        <v>26</v>
      </c>
      <c r="G652" t="s">
        <v>141</v>
      </c>
      <c r="H652" t="s">
        <v>142</v>
      </c>
      <c r="I652" t="s">
        <v>35</v>
      </c>
      <c r="J652" t="s">
        <v>36</v>
      </c>
      <c r="K652">
        <v>2</v>
      </c>
      <c r="L652">
        <v>599</v>
      </c>
      <c r="M652" s="3">
        <v>0.15</v>
      </c>
      <c r="N652">
        <v>1018.3</v>
      </c>
      <c r="O652">
        <v>640</v>
      </c>
      <c r="P652">
        <v>378.3</v>
      </c>
      <c r="Q652" t="s">
        <v>37</v>
      </c>
      <c r="R652" t="s">
        <v>28</v>
      </c>
      <c r="S652">
        <v>4</v>
      </c>
    </row>
    <row r="653" spans="1:19">
      <c r="A653" t="s">
        <v>994</v>
      </c>
      <c r="B653" s="2">
        <v>45981</v>
      </c>
      <c r="C653" t="s">
        <v>384</v>
      </c>
      <c r="D653" t="s">
        <v>385</v>
      </c>
      <c r="E653" t="s">
        <v>32</v>
      </c>
      <c r="F653">
        <v>22</v>
      </c>
      <c r="G653" t="s">
        <v>48</v>
      </c>
      <c r="H653" t="s">
        <v>42</v>
      </c>
      <c r="I653" t="s">
        <v>35</v>
      </c>
      <c r="J653" t="s">
        <v>108</v>
      </c>
      <c r="K653">
        <v>3</v>
      </c>
      <c r="L653">
        <v>699</v>
      </c>
      <c r="M653" s="3">
        <v>0.2</v>
      </c>
      <c r="N653">
        <v>1677.6</v>
      </c>
      <c r="O653">
        <v>1140</v>
      </c>
      <c r="P653">
        <v>537.6</v>
      </c>
      <c r="Q653" t="s">
        <v>50</v>
      </c>
      <c r="R653" t="s">
        <v>28</v>
      </c>
      <c r="S653">
        <v>2</v>
      </c>
    </row>
    <row r="654" spans="1:19">
      <c r="A654" t="s">
        <v>995</v>
      </c>
      <c r="B654" s="2">
        <v>45725</v>
      </c>
      <c r="C654" t="s">
        <v>71</v>
      </c>
      <c r="D654" t="s">
        <v>72</v>
      </c>
      <c r="E654" t="s">
        <v>32</v>
      </c>
      <c r="F654">
        <v>53</v>
      </c>
      <c r="G654" t="s">
        <v>73</v>
      </c>
      <c r="H654" t="s">
        <v>74</v>
      </c>
      <c r="I654" t="s">
        <v>117</v>
      </c>
      <c r="J654" t="s">
        <v>118</v>
      </c>
      <c r="K654">
        <v>3</v>
      </c>
      <c r="L654">
        <v>999</v>
      </c>
      <c r="M654" s="3">
        <v>0.1</v>
      </c>
      <c r="N654">
        <v>2697.3</v>
      </c>
      <c r="O654">
        <v>1650</v>
      </c>
      <c r="P654">
        <v>1047.3</v>
      </c>
      <c r="Q654" t="s">
        <v>27</v>
      </c>
      <c r="R654" t="s">
        <v>28</v>
      </c>
      <c r="S654">
        <v>1</v>
      </c>
    </row>
    <row r="655" spans="1:19">
      <c r="A655" t="s">
        <v>996</v>
      </c>
      <c r="B655" s="2">
        <v>46056</v>
      </c>
      <c r="C655" t="s">
        <v>175</v>
      </c>
      <c r="D655" t="s">
        <v>176</v>
      </c>
      <c r="E655" t="s">
        <v>32</v>
      </c>
      <c r="F655">
        <v>29</v>
      </c>
      <c r="G655" t="s">
        <v>60</v>
      </c>
      <c r="H655" t="s">
        <v>61</v>
      </c>
      <c r="I655" t="s">
        <v>163</v>
      </c>
      <c r="J655" t="s">
        <v>290</v>
      </c>
      <c r="K655">
        <v>2</v>
      </c>
      <c r="L655">
        <v>1999</v>
      </c>
      <c r="M655" s="3">
        <v>0.2</v>
      </c>
      <c r="N655">
        <v>3198.4</v>
      </c>
      <c r="O655">
        <v>2400</v>
      </c>
      <c r="P655">
        <v>798.4</v>
      </c>
      <c r="Q655" t="s">
        <v>27</v>
      </c>
      <c r="R655" t="s">
        <v>28</v>
      </c>
      <c r="S655">
        <v>3</v>
      </c>
    </row>
    <row r="656" spans="1:19">
      <c r="A656" t="s">
        <v>997</v>
      </c>
      <c r="B656" s="2">
        <v>46081</v>
      </c>
      <c r="C656" t="s">
        <v>436</v>
      </c>
      <c r="D656" t="s">
        <v>437</v>
      </c>
      <c r="E656" t="s">
        <v>32</v>
      </c>
      <c r="F656">
        <v>44</v>
      </c>
      <c r="G656" t="s">
        <v>73</v>
      </c>
      <c r="H656" t="s">
        <v>74</v>
      </c>
      <c r="I656" t="s">
        <v>117</v>
      </c>
      <c r="J656" t="s">
        <v>238</v>
      </c>
      <c r="K656">
        <v>1</v>
      </c>
      <c r="L656">
        <v>2499</v>
      </c>
      <c r="M656" s="3">
        <v>0.1</v>
      </c>
      <c r="N656">
        <v>2249.1</v>
      </c>
      <c r="O656">
        <v>1500</v>
      </c>
      <c r="P656">
        <v>749.1</v>
      </c>
      <c r="Q656" t="s">
        <v>69</v>
      </c>
      <c r="R656" t="s">
        <v>28</v>
      </c>
      <c r="S656">
        <v>2</v>
      </c>
    </row>
    <row r="657" spans="1:19">
      <c r="A657" t="s">
        <v>998</v>
      </c>
      <c r="B657" s="2">
        <v>46195</v>
      </c>
      <c r="C657" t="s">
        <v>862</v>
      </c>
      <c r="D657" t="s">
        <v>863</v>
      </c>
      <c r="E657" t="s">
        <v>32</v>
      </c>
      <c r="F657">
        <v>53</v>
      </c>
      <c r="G657" t="s">
        <v>41</v>
      </c>
      <c r="H657" t="s">
        <v>42</v>
      </c>
      <c r="I657" t="s">
        <v>35</v>
      </c>
      <c r="J657" t="s">
        <v>136</v>
      </c>
      <c r="K657">
        <v>3</v>
      </c>
      <c r="L657">
        <v>799</v>
      </c>
      <c r="M657" s="3">
        <v>0.05</v>
      </c>
      <c r="N657">
        <v>2277.15</v>
      </c>
      <c r="O657">
        <v>1350</v>
      </c>
      <c r="P657">
        <v>927.15</v>
      </c>
      <c r="Q657" t="s">
        <v>37</v>
      </c>
      <c r="R657" t="s">
        <v>28</v>
      </c>
      <c r="S657">
        <v>3</v>
      </c>
    </row>
    <row r="658" spans="1:19">
      <c r="A658" t="s">
        <v>999</v>
      </c>
      <c r="B658" s="2">
        <v>46176</v>
      </c>
      <c r="C658" t="s">
        <v>321</v>
      </c>
      <c r="D658" t="s">
        <v>322</v>
      </c>
      <c r="E658" t="s">
        <v>22</v>
      </c>
      <c r="F658">
        <v>42</v>
      </c>
      <c r="G658" t="s">
        <v>23</v>
      </c>
      <c r="H658" t="s">
        <v>24</v>
      </c>
      <c r="I658" t="s">
        <v>43</v>
      </c>
      <c r="J658" t="s">
        <v>49</v>
      </c>
      <c r="K658">
        <v>1</v>
      </c>
      <c r="L658">
        <v>799</v>
      </c>
      <c r="M658" s="3">
        <v>0.15</v>
      </c>
      <c r="N658">
        <v>679.15</v>
      </c>
      <c r="O658">
        <v>450</v>
      </c>
      <c r="P658">
        <v>229.15</v>
      </c>
      <c r="Q658" t="s">
        <v>69</v>
      </c>
      <c r="R658" t="s">
        <v>137</v>
      </c>
      <c r="S658">
        <v>2</v>
      </c>
    </row>
    <row r="659" spans="1:19">
      <c r="A659" t="s">
        <v>1000</v>
      </c>
      <c r="B659" s="2">
        <v>45975</v>
      </c>
      <c r="C659" t="s">
        <v>603</v>
      </c>
      <c r="D659" t="s">
        <v>604</v>
      </c>
      <c r="E659" t="s">
        <v>32</v>
      </c>
      <c r="F659">
        <v>33</v>
      </c>
      <c r="G659" t="s">
        <v>41</v>
      </c>
      <c r="H659" t="s">
        <v>42</v>
      </c>
      <c r="I659" t="s">
        <v>163</v>
      </c>
      <c r="J659" t="s">
        <v>164</v>
      </c>
      <c r="K659">
        <v>4</v>
      </c>
      <c r="L659">
        <v>3499</v>
      </c>
      <c r="M659" s="3">
        <v>0.2</v>
      </c>
      <c r="N659">
        <v>11196.8</v>
      </c>
      <c r="O659">
        <v>8800</v>
      </c>
      <c r="P659">
        <v>2396.8000000000002</v>
      </c>
      <c r="Q659" t="s">
        <v>37</v>
      </c>
      <c r="R659" t="s">
        <v>28</v>
      </c>
      <c r="S659">
        <v>1</v>
      </c>
    </row>
    <row r="660" spans="1:19">
      <c r="A660" t="s">
        <v>1001</v>
      </c>
      <c r="B660" s="2">
        <v>45695</v>
      </c>
      <c r="C660" t="s">
        <v>351</v>
      </c>
      <c r="D660" t="s">
        <v>352</v>
      </c>
      <c r="E660" t="s">
        <v>32</v>
      </c>
      <c r="F660">
        <v>41</v>
      </c>
      <c r="G660" t="s">
        <v>73</v>
      </c>
      <c r="H660" t="s">
        <v>74</v>
      </c>
      <c r="I660" t="s">
        <v>117</v>
      </c>
      <c r="J660" t="s">
        <v>118</v>
      </c>
      <c r="K660">
        <v>2</v>
      </c>
      <c r="L660">
        <v>999</v>
      </c>
      <c r="M660" s="3">
        <v>0.05</v>
      </c>
      <c r="N660">
        <v>1898.1</v>
      </c>
      <c r="O660">
        <v>1100</v>
      </c>
      <c r="P660">
        <v>798.1</v>
      </c>
      <c r="Q660" t="s">
        <v>66</v>
      </c>
      <c r="R660" t="s">
        <v>28</v>
      </c>
      <c r="S660">
        <v>5</v>
      </c>
    </row>
    <row r="661" spans="1:19">
      <c r="A661" t="s">
        <v>1002</v>
      </c>
      <c r="B661" s="2">
        <v>46266</v>
      </c>
      <c r="C661" t="s">
        <v>254</v>
      </c>
      <c r="D661" t="s">
        <v>255</v>
      </c>
      <c r="E661" t="s">
        <v>22</v>
      </c>
      <c r="F661">
        <v>50</v>
      </c>
      <c r="G661" t="s">
        <v>141</v>
      </c>
      <c r="H661" t="s">
        <v>142</v>
      </c>
      <c r="I661" t="s">
        <v>25</v>
      </c>
      <c r="J661" t="s">
        <v>156</v>
      </c>
      <c r="K661">
        <v>3</v>
      </c>
      <c r="L661">
        <v>1999</v>
      </c>
      <c r="M661" s="3">
        <v>0</v>
      </c>
      <c r="N661">
        <v>5997</v>
      </c>
      <c r="O661">
        <v>3900</v>
      </c>
      <c r="P661">
        <v>2097</v>
      </c>
      <c r="Q661" t="s">
        <v>69</v>
      </c>
      <c r="R661" t="s">
        <v>28</v>
      </c>
      <c r="S661">
        <v>1</v>
      </c>
    </row>
    <row r="662" spans="1:19">
      <c r="A662" t="s">
        <v>1003</v>
      </c>
      <c r="B662" s="2">
        <v>46249</v>
      </c>
      <c r="C662" t="s">
        <v>595</v>
      </c>
      <c r="D662" t="s">
        <v>596</v>
      </c>
      <c r="E662" t="s">
        <v>22</v>
      </c>
      <c r="F662">
        <v>25</v>
      </c>
      <c r="G662" t="s">
        <v>180</v>
      </c>
      <c r="H662" t="s">
        <v>181</v>
      </c>
      <c r="I662" t="s">
        <v>35</v>
      </c>
      <c r="J662" t="s">
        <v>108</v>
      </c>
      <c r="K662">
        <v>3</v>
      </c>
      <c r="L662">
        <v>699</v>
      </c>
      <c r="M662" s="3">
        <v>0</v>
      </c>
      <c r="N662">
        <v>2097</v>
      </c>
      <c r="O662">
        <v>1140</v>
      </c>
      <c r="P662">
        <v>957</v>
      </c>
      <c r="Q662" t="s">
        <v>37</v>
      </c>
      <c r="R662" t="s">
        <v>28</v>
      </c>
      <c r="S662">
        <v>2</v>
      </c>
    </row>
    <row r="663" spans="1:19">
      <c r="A663" t="s">
        <v>1004</v>
      </c>
      <c r="B663" s="2">
        <v>45941</v>
      </c>
      <c r="C663" t="s">
        <v>110</v>
      </c>
      <c r="D663" t="s">
        <v>111</v>
      </c>
      <c r="E663" t="s">
        <v>22</v>
      </c>
      <c r="F663">
        <v>47</v>
      </c>
      <c r="G663" t="s">
        <v>48</v>
      </c>
      <c r="H663" t="s">
        <v>42</v>
      </c>
      <c r="I663" t="s">
        <v>43</v>
      </c>
      <c r="J663" t="s">
        <v>49</v>
      </c>
      <c r="K663">
        <v>2</v>
      </c>
      <c r="L663">
        <v>799</v>
      </c>
      <c r="M663" s="3">
        <v>0.1</v>
      </c>
      <c r="N663">
        <v>1438.2</v>
      </c>
      <c r="O663">
        <v>900</v>
      </c>
      <c r="P663">
        <v>538.20000000000005</v>
      </c>
      <c r="Q663" t="s">
        <v>50</v>
      </c>
      <c r="R663" t="s">
        <v>28</v>
      </c>
      <c r="S663">
        <v>4</v>
      </c>
    </row>
    <row r="664" spans="1:19">
      <c r="A664" t="s">
        <v>1005</v>
      </c>
      <c r="B664" s="2">
        <v>45938</v>
      </c>
      <c r="C664" t="s">
        <v>562</v>
      </c>
      <c r="D664" t="s">
        <v>563</v>
      </c>
      <c r="E664" t="s">
        <v>22</v>
      </c>
      <c r="F664">
        <v>27</v>
      </c>
      <c r="G664" t="s">
        <v>180</v>
      </c>
      <c r="H664" t="s">
        <v>181</v>
      </c>
      <c r="I664" t="s">
        <v>43</v>
      </c>
      <c r="J664" t="s">
        <v>197</v>
      </c>
      <c r="K664">
        <v>2</v>
      </c>
      <c r="L664">
        <v>1799</v>
      </c>
      <c r="M664" s="3">
        <v>0.05</v>
      </c>
      <c r="N664">
        <v>3418.1</v>
      </c>
      <c r="O664">
        <v>2100</v>
      </c>
      <c r="P664">
        <v>1318.1</v>
      </c>
      <c r="Q664" t="s">
        <v>69</v>
      </c>
      <c r="R664" t="s">
        <v>28</v>
      </c>
      <c r="S664">
        <v>5</v>
      </c>
    </row>
    <row r="665" spans="1:19">
      <c r="A665" t="s">
        <v>1006</v>
      </c>
      <c r="B665" s="2">
        <v>46213</v>
      </c>
      <c r="C665" t="s">
        <v>277</v>
      </c>
      <c r="D665" t="s">
        <v>278</v>
      </c>
      <c r="E665" t="s">
        <v>32</v>
      </c>
      <c r="F665">
        <v>33</v>
      </c>
      <c r="G665" t="s">
        <v>105</v>
      </c>
      <c r="H665" t="s">
        <v>105</v>
      </c>
      <c r="I665" t="s">
        <v>35</v>
      </c>
      <c r="J665" t="s">
        <v>108</v>
      </c>
      <c r="K665">
        <v>1</v>
      </c>
      <c r="L665">
        <v>699</v>
      </c>
      <c r="M665" s="3">
        <v>0.05</v>
      </c>
      <c r="N665">
        <v>664.05</v>
      </c>
      <c r="O665">
        <v>380</v>
      </c>
      <c r="P665">
        <v>284.05</v>
      </c>
      <c r="Q665" t="s">
        <v>37</v>
      </c>
      <c r="R665" t="s">
        <v>28</v>
      </c>
      <c r="S665">
        <v>3</v>
      </c>
    </row>
    <row r="666" spans="1:19">
      <c r="A666" t="s">
        <v>1007</v>
      </c>
      <c r="B666" s="2">
        <v>45908</v>
      </c>
      <c r="C666" t="s">
        <v>598</v>
      </c>
      <c r="D666" t="s">
        <v>225</v>
      </c>
      <c r="E666" t="s">
        <v>22</v>
      </c>
      <c r="F666">
        <v>37</v>
      </c>
      <c r="G666" t="s">
        <v>48</v>
      </c>
      <c r="H666" t="s">
        <v>42</v>
      </c>
      <c r="I666" t="s">
        <v>117</v>
      </c>
      <c r="J666" t="s">
        <v>238</v>
      </c>
      <c r="K666">
        <v>3</v>
      </c>
      <c r="L666">
        <v>2499</v>
      </c>
      <c r="M666" s="3">
        <v>0.2</v>
      </c>
      <c r="N666">
        <v>5997.6</v>
      </c>
      <c r="O666">
        <v>4500</v>
      </c>
      <c r="P666">
        <v>1497.6</v>
      </c>
      <c r="Q666" t="s">
        <v>27</v>
      </c>
      <c r="R666" t="s">
        <v>28</v>
      </c>
      <c r="S666">
        <v>5</v>
      </c>
    </row>
    <row r="667" spans="1:19">
      <c r="A667" t="s">
        <v>1008</v>
      </c>
      <c r="B667" s="2">
        <v>45791</v>
      </c>
      <c r="C667" t="s">
        <v>175</v>
      </c>
      <c r="D667" t="s">
        <v>176</v>
      </c>
      <c r="E667" t="s">
        <v>32</v>
      </c>
      <c r="F667">
        <v>29</v>
      </c>
      <c r="G667" t="s">
        <v>60</v>
      </c>
      <c r="H667" t="s">
        <v>61</v>
      </c>
      <c r="I667" t="s">
        <v>35</v>
      </c>
      <c r="J667" t="s">
        <v>126</v>
      </c>
      <c r="K667">
        <v>4</v>
      </c>
      <c r="L667">
        <v>1499</v>
      </c>
      <c r="M667" s="3">
        <v>0</v>
      </c>
      <c r="N667">
        <v>5996</v>
      </c>
      <c r="O667">
        <v>3400</v>
      </c>
      <c r="P667">
        <v>2596</v>
      </c>
      <c r="Q667" t="s">
        <v>69</v>
      </c>
      <c r="R667" t="s">
        <v>28</v>
      </c>
      <c r="S667">
        <v>1</v>
      </c>
    </row>
    <row r="668" spans="1:19">
      <c r="A668" t="s">
        <v>1009</v>
      </c>
      <c r="B668" s="2">
        <v>46094</v>
      </c>
      <c r="C668" t="s">
        <v>453</v>
      </c>
      <c r="D668" t="s">
        <v>454</v>
      </c>
      <c r="E668" t="s">
        <v>32</v>
      </c>
      <c r="F668">
        <v>25</v>
      </c>
      <c r="G668" t="s">
        <v>141</v>
      </c>
      <c r="H668" t="s">
        <v>142</v>
      </c>
      <c r="I668" t="s">
        <v>163</v>
      </c>
      <c r="J668" t="s">
        <v>290</v>
      </c>
      <c r="K668">
        <v>1</v>
      </c>
      <c r="L668">
        <v>1999</v>
      </c>
      <c r="M668" s="3">
        <v>0</v>
      </c>
      <c r="N668">
        <v>1999</v>
      </c>
      <c r="O668">
        <v>1200</v>
      </c>
      <c r="P668">
        <v>799</v>
      </c>
      <c r="Q668" t="s">
        <v>66</v>
      </c>
      <c r="R668" t="s">
        <v>28</v>
      </c>
      <c r="S668">
        <v>5</v>
      </c>
    </row>
    <row r="669" spans="1:19">
      <c r="A669" t="s">
        <v>1010</v>
      </c>
      <c r="B669" s="2">
        <v>45998</v>
      </c>
      <c r="C669" t="s">
        <v>317</v>
      </c>
      <c r="D669" t="s">
        <v>318</v>
      </c>
      <c r="E669" t="s">
        <v>22</v>
      </c>
      <c r="F669">
        <v>31</v>
      </c>
      <c r="G669" t="s">
        <v>33</v>
      </c>
      <c r="H669" t="s">
        <v>34</v>
      </c>
      <c r="I669" t="s">
        <v>75</v>
      </c>
      <c r="J669" t="s">
        <v>106</v>
      </c>
      <c r="K669">
        <v>3</v>
      </c>
      <c r="L669">
        <v>899</v>
      </c>
      <c r="M669" s="3">
        <v>0.1</v>
      </c>
      <c r="N669">
        <v>2427.3000000000002</v>
      </c>
      <c r="O669">
        <v>1800</v>
      </c>
      <c r="P669">
        <v>627.29999999999995</v>
      </c>
      <c r="Q669" t="s">
        <v>27</v>
      </c>
      <c r="R669" t="s">
        <v>28</v>
      </c>
      <c r="S669">
        <v>5</v>
      </c>
    </row>
    <row r="670" spans="1:19">
      <c r="A670" t="s">
        <v>1011</v>
      </c>
      <c r="B670" s="2">
        <v>46137</v>
      </c>
      <c r="C670" t="s">
        <v>295</v>
      </c>
      <c r="D670" t="s">
        <v>296</v>
      </c>
      <c r="E670" t="s">
        <v>22</v>
      </c>
      <c r="F670">
        <v>33</v>
      </c>
      <c r="G670" t="s">
        <v>41</v>
      </c>
      <c r="H670" t="s">
        <v>42</v>
      </c>
      <c r="I670" t="s">
        <v>35</v>
      </c>
      <c r="J670" t="s">
        <v>136</v>
      </c>
      <c r="K670">
        <v>2</v>
      </c>
      <c r="L670">
        <v>799</v>
      </c>
      <c r="M670" s="3">
        <v>0</v>
      </c>
      <c r="N670">
        <v>1598</v>
      </c>
      <c r="O670">
        <v>900</v>
      </c>
      <c r="P670">
        <v>698</v>
      </c>
      <c r="Q670" t="s">
        <v>69</v>
      </c>
      <c r="R670" t="s">
        <v>28</v>
      </c>
      <c r="S670">
        <v>4</v>
      </c>
    </row>
    <row r="671" spans="1:19">
      <c r="A671" t="s">
        <v>1012</v>
      </c>
      <c r="B671" s="2">
        <v>45922</v>
      </c>
      <c r="C671" t="s">
        <v>224</v>
      </c>
      <c r="D671" t="s">
        <v>225</v>
      </c>
      <c r="E671" t="s">
        <v>32</v>
      </c>
      <c r="F671">
        <v>19</v>
      </c>
      <c r="G671" t="s">
        <v>33</v>
      </c>
      <c r="H671" t="s">
        <v>34</v>
      </c>
      <c r="I671" t="s">
        <v>43</v>
      </c>
      <c r="J671" t="s">
        <v>281</v>
      </c>
      <c r="K671">
        <v>2</v>
      </c>
      <c r="L671">
        <v>2999</v>
      </c>
      <c r="M671" s="3">
        <v>0.05</v>
      </c>
      <c r="N671">
        <v>5698.1</v>
      </c>
      <c r="O671">
        <v>3600</v>
      </c>
      <c r="P671">
        <v>2098.1</v>
      </c>
      <c r="Q671" t="s">
        <v>37</v>
      </c>
      <c r="R671" t="s">
        <v>28</v>
      </c>
      <c r="S671">
        <v>3</v>
      </c>
    </row>
    <row r="672" spans="1:19">
      <c r="A672" t="s">
        <v>1013</v>
      </c>
      <c r="B672" s="2">
        <v>45724</v>
      </c>
      <c r="C672" t="s">
        <v>532</v>
      </c>
      <c r="D672" t="s">
        <v>533</v>
      </c>
      <c r="E672" t="s">
        <v>22</v>
      </c>
      <c r="F672">
        <v>32</v>
      </c>
      <c r="G672" t="s">
        <v>180</v>
      </c>
      <c r="H672" t="s">
        <v>181</v>
      </c>
      <c r="I672" t="s">
        <v>35</v>
      </c>
      <c r="J672" t="s">
        <v>136</v>
      </c>
      <c r="K672">
        <v>4</v>
      </c>
      <c r="L672">
        <v>799</v>
      </c>
      <c r="M672" s="3">
        <v>0</v>
      </c>
      <c r="N672">
        <v>3196</v>
      </c>
      <c r="O672">
        <v>1800</v>
      </c>
      <c r="P672">
        <v>1396</v>
      </c>
      <c r="Q672" t="s">
        <v>66</v>
      </c>
      <c r="R672" t="s">
        <v>28</v>
      </c>
      <c r="S672">
        <v>4</v>
      </c>
    </row>
    <row r="673" spans="1:19">
      <c r="A673" t="s">
        <v>1014</v>
      </c>
      <c r="B673" s="2">
        <v>46246</v>
      </c>
      <c r="C673" t="s">
        <v>144</v>
      </c>
      <c r="D673" t="s">
        <v>145</v>
      </c>
      <c r="E673" t="s">
        <v>32</v>
      </c>
      <c r="F673">
        <v>37</v>
      </c>
      <c r="G673" t="s">
        <v>146</v>
      </c>
      <c r="H673" t="s">
        <v>61</v>
      </c>
      <c r="I673" t="s">
        <v>43</v>
      </c>
      <c r="J673" t="s">
        <v>95</v>
      </c>
      <c r="K673">
        <v>3</v>
      </c>
      <c r="L673">
        <v>2499</v>
      </c>
      <c r="M673" s="3">
        <v>0.1</v>
      </c>
      <c r="N673">
        <v>6747.3</v>
      </c>
      <c r="O673">
        <v>4500</v>
      </c>
      <c r="P673">
        <v>2247.3000000000002</v>
      </c>
      <c r="Q673" t="s">
        <v>27</v>
      </c>
      <c r="R673" t="s">
        <v>28</v>
      </c>
      <c r="S673">
        <v>4</v>
      </c>
    </row>
    <row r="674" spans="1:19">
      <c r="A674" t="s">
        <v>1015</v>
      </c>
      <c r="B674" s="2">
        <v>46203</v>
      </c>
      <c r="C674" t="s">
        <v>453</v>
      </c>
      <c r="D674" t="s">
        <v>454</v>
      </c>
      <c r="E674" t="s">
        <v>32</v>
      </c>
      <c r="F674">
        <v>25</v>
      </c>
      <c r="G674" t="s">
        <v>141</v>
      </c>
      <c r="H674" t="s">
        <v>142</v>
      </c>
      <c r="I674" t="s">
        <v>163</v>
      </c>
      <c r="J674" t="s">
        <v>164</v>
      </c>
      <c r="K674">
        <v>1</v>
      </c>
      <c r="L674">
        <v>3499</v>
      </c>
      <c r="M674" s="3">
        <v>0.1</v>
      </c>
      <c r="N674">
        <v>3149.1</v>
      </c>
      <c r="O674">
        <v>2200</v>
      </c>
      <c r="P674">
        <v>949.1</v>
      </c>
      <c r="Q674" t="s">
        <v>66</v>
      </c>
      <c r="R674" t="s">
        <v>28</v>
      </c>
      <c r="S674">
        <v>4</v>
      </c>
    </row>
    <row r="675" spans="1:19">
      <c r="A675" t="s">
        <v>1016</v>
      </c>
      <c r="B675" s="2">
        <v>45820</v>
      </c>
      <c r="C675" t="s">
        <v>363</v>
      </c>
      <c r="D675" t="s">
        <v>155</v>
      </c>
      <c r="E675" t="s">
        <v>32</v>
      </c>
      <c r="F675">
        <v>43</v>
      </c>
      <c r="G675" t="s">
        <v>48</v>
      </c>
      <c r="H675" t="s">
        <v>42</v>
      </c>
      <c r="I675" t="s">
        <v>75</v>
      </c>
      <c r="J675" t="s">
        <v>106</v>
      </c>
      <c r="K675">
        <v>2</v>
      </c>
      <c r="L675">
        <v>899</v>
      </c>
      <c r="M675" s="3">
        <v>0.2</v>
      </c>
      <c r="N675">
        <v>1438.4</v>
      </c>
      <c r="O675">
        <v>1200</v>
      </c>
      <c r="P675">
        <v>238.4</v>
      </c>
      <c r="Q675" t="s">
        <v>66</v>
      </c>
      <c r="R675" t="s">
        <v>28</v>
      </c>
      <c r="S675">
        <v>3</v>
      </c>
    </row>
    <row r="676" spans="1:19">
      <c r="A676" t="s">
        <v>1017</v>
      </c>
      <c r="B676" s="2">
        <v>46238</v>
      </c>
      <c r="C676" t="s">
        <v>88</v>
      </c>
      <c r="D676" t="s">
        <v>89</v>
      </c>
      <c r="E676" t="s">
        <v>32</v>
      </c>
      <c r="F676">
        <v>53</v>
      </c>
      <c r="G676" t="s">
        <v>41</v>
      </c>
      <c r="H676" t="s">
        <v>42</v>
      </c>
      <c r="I676" t="s">
        <v>117</v>
      </c>
      <c r="J676" t="s">
        <v>238</v>
      </c>
      <c r="K676">
        <v>4</v>
      </c>
      <c r="L676">
        <v>2499</v>
      </c>
      <c r="M676" s="3">
        <v>0.15</v>
      </c>
      <c r="N676">
        <v>8496.6</v>
      </c>
      <c r="O676">
        <v>6000</v>
      </c>
      <c r="P676">
        <v>2496.6</v>
      </c>
      <c r="Q676" t="s">
        <v>37</v>
      </c>
      <c r="R676" t="s">
        <v>28</v>
      </c>
      <c r="S676">
        <v>2</v>
      </c>
    </row>
    <row r="677" spans="1:19">
      <c r="A677" t="s">
        <v>1018</v>
      </c>
      <c r="B677" s="2">
        <v>46156</v>
      </c>
      <c r="C677" t="s">
        <v>458</v>
      </c>
      <c r="D677" t="s">
        <v>459</v>
      </c>
      <c r="E677" t="s">
        <v>32</v>
      </c>
      <c r="F677">
        <v>40</v>
      </c>
      <c r="G677" t="s">
        <v>60</v>
      </c>
      <c r="H677" t="s">
        <v>61</v>
      </c>
      <c r="I677" t="s">
        <v>117</v>
      </c>
      <c r="J677" t="s">
        <v>118</v>
      </c>
      <c r="K677">
        <v>1</v>
      </c>
      <c r="L677">
        <v>999</v>
      </c>
      <c r="M677" s="3">
        <v>0.2</v>
      </c>
      <c r="N677">
        <v>799.2</v>
      </c>
      <c r="O677">
        <v>550</v>
      </c>
      <c r="P677">
        <v>249.2</v>
      </c>
      <c r="Q677" t="s">
        <v>69</v>
      </c>
      <c r="R677" t="s">
        <v>28</v>
      </c>
      <c r="S677">
        <v>4</v>
      </c>
    </row>
    <row r="678" spans="1:19">
      <c r="A678" t="s">
        <v>1019</v>
      </c>
      <c r="B678" s="2">
        <v>45838</v>
      </c>
      <c r="C678" t="s">
        <v>532</v>
      </c>
      <c r="D678" t="s">
        <v>533</v>
      </c>
      <c r="E678" t="s">
        <v>22</v>
      </c>
      <c r="F678">
        <v>32</v>
      </c>
      <c r="G678" t="s">
        <v>180</v>
      </c>
      <c r="H678" t="s">
        <v>181</v>
      </c>
      <c r="I678" t="s">
        <v>35</v>
      </c>
      <c r="J678" t="s">
        <v>126</v>
      </c>
      <c r="K678">
        <v>1</v>
      </c>
      <c r="L678">
        <v>1499</v>
      </c>
      <c r="M678" s="3">
        <v>0.15</v>
      </c>
      <c r="N678">
        <v>1274.1500000000001</v>
      </c>
      <c r="O678">
        <v>850</v>
      </c>
      <c r="P678">
        <v>424.15</v>
      </c>
      <c r="Q678" t="s">
        <v>37</v>
      </c>
      <c r="R678" t="s">
        <v>51</v>
      </c>
      <c r="S678">
        <v>1</v>
      </c>
    </row>
    <row r="679" spans="1:19">
      <c r="A679" t="s">
        <v>1020</v>
      </c>
      <c r="B679" s="2">
        <v>46164</v>
      </c>
      <c r="C679" t="s">
        <v>453</v>
      </c>
      <c r="D679" t="s">
        <v>454</v>
      </c>
      <c r="E679" t="s">
        <v>32</v>
      </c>
      <c r="F679">
        <v>25</v>
      </c>
      <c r="G679" t="s">
        <v>141</v>
      </c>
      <c r="H679" t="s">
        <v>142</v>
      </c>
      <c r="I679" t="s">
        <v>117</v>
      </c>
      <c r="J679" t="s">
        <v>118</v>
      </c>
      <c r="K679">
        <v>4</v>
      </c>
      <c r="L679">
        <v>999</v>
      </c>
      <c r="M679" s="3">
        <v>0.1</v>
      </c>
      <c r="N679">
        <v>3596.4</v>
      </c>
      <c r="O679">
        <v>2200</v>
      </c>
      <c r="P679">
        <v>1396.4</v>
      </c>
      <c r="Q679" t="s">
        <v>69</v>
      </c>
      <c r="R679" t="s">
        <v>28</v>
      </c>
      <c r="S679">
        <v>2</v>
      </c>
    </row>
    <row r="680" spans="1:19">
      <c r="A680" t="s">
        <v>1021</v>
      </c>
      <c r="B680" s="2">
        <v>45810</v>
      </c>
      <c r="C680" t="s">
        <v>212</v>
      </c>
      <c r="D680" t="s">
        <v>213</v>
      </c>
      <c r="E680" t="s">
        <v>22</v>
      </c>
      <c r="F680">
        <v>33</v>
      </c>
      <c r="G680" t="s">
        <v>48</v>
      </c>
      <c r="H680" t="s">
        <v>42</v>
      </c>
      <c r="I680" t="s">
        <v>75</v>
      </c>
      <c r="J680" t="s">
        <v>76</v>
      </c>
      <c r="K680">
        <v>1</v>
      </c>
      <c r="L680">
        <v>399</v>
      </c>
      <c r="M680" s="3">
        <v>0.05</v>
      </c>
      <c r="N680">
        <v>379.05</v>
      </c>
      <c r="O680">
        <v>220</v>
      </c>
      <c r="P680">
        <v>159.05000000000001</v>
      </c>
      <c r="Q680" t="s">
        <v>66</v>
      </c>
      <c r="R680" t="s">
        <v>28</v>
      </c>
      <c r="S680">
        <v>4</v>
      </c>
    </row>
    <row r="681" spans="1:19">
      <c r="A681" t="s">
        <v>1022</v>
      </c>
      <c r="B681" s="2">
        <v>45982</v>
      </c>
      <c r="C681" t="s">
        <v>71</v>
      </c>
      <c r="D681" t="s">
        <v>72</v>
      </c>
      <c r="E681" t="s">
        <v>32</v>
      </c>
      <c r="F681">
        <v>53</v>
      </c>
      <c r="G681" t="s">
        <v>73</v>
      </c>
      <c r="H681" t="s">
        <v>74</v>
      </c>
      <c r="I681" t="s">
        <v>35</v>
      </c>
      <c r="J681" t="s">
        <v>136</v>
      </c>
      <c r="K681">
        <v>2</v>
      </c>
      <c r="L681">
        <v>799</v>
      </c>
      <c r="M681" s="3">
        <v>0.05</v>
      </c>
      <c r="N681">
        <v>1518.1</v>
      </c>
      <c r="O681">
        <v>900</v>
      </c>
      <c r="P681">
        <v>618.1</v>
      </c>
      <c r="Q681" t="s">
        <v>37</v>
      </c>
      <c r="R681" t="s">
        <v>28</v>
      </c>
      <c r="S681">
        <v>3</v>
      </c>
    </row>
    <row r="682" spans="1:19">
      <c r="A682" t="s">
        <v>1023</v>
      </c>
      <c r="B682" s="2">
        <v>46254</v>
      </c>
      <c r="C682" t="s">
        <v>1024</v>
      </c>
      <c r="D682" t="s">
        <v>1025</v>
      </c>
      <c r="E682" t="s">
        <v>22</v>
      </c>
      <c r="F682">
        <v>35</v>
      </c>
      <c r="G682" t="s">
        <v>93</v>
      </c>
      <c r="H682" t="s">
        <v>94</v>
      </c>
      <c r="I682" t="s">
        <v>117</v>
      </c>
      <c r="J682" t="s">
        <v>238</v>
      </c>
      <c r="K682">
        <v>3</v>
      </c>
      <c r="L682">
        <v>2499</v>
      </c>
      <c r="M682" s="3">
        <v>0</v>
      </c>
      <c r="N682">
        <v>7497</v>
      </c>
      <c r="O682">
        <v>4500</v>
      </c>
      <c r="P682">
        <v>2997</v>
      </c>
      <c r="Q682" t="s">
        <v>69</v>
      </c>
      <c r="R682" t="s">
        <v>28</v>
      </c>
      <c r="S682">
        <v>5</v>
      </c>
    </row>
    <row r="683" spans="1:19">
      <c r="A683" t="s">
        <v>1026</v>
      </c>
      <c r="B683" s="2">
        <v>46036</v>
      </c>
      <c r="C683" t="s">
        <v>128</v>
      </c>
      <c r="D683" t="s">
        <v>129</v>
      </c>
      <c r="E683" t="s">
        <v>22</v>
      </c>
      <c r="F683">
        <v>42</v>
      </c>
      <c r="G683" t="s">
        <v>105</v>
      </c>
      <c r="H683" t="s">
        <v>105</v>
      </c>
      <c r="I683" t="s">
        <v>25</v>
      </c>
      <c r="J683" t="s">
        <v>62</v>
      </c>
      <c r="K683">
        <v>3</v>
      </c>
      <c r="L683">
        <v>1299</v>
      </c>
      <c r="M683" s="3">
        <v>0</v>
      </c>
      <c r="N683">
        <v>3897</v>
      </c>
      <c r="O683">
        <v>2400</v>
      </c>
      <c r="P683">
        <v>1497</v>
      </c>
      <c r="Q683" t="s">
        <v>50</v>
      </c>
      <c r="R683" t="s">
        <v>51</v>
      </c>
      <c r="S683">
        <v>1</v>
      </c>
    </row>
    <row r="684" spans="1:19">
      <c r="A684" t="s">
        <v>1027</v>
      </c>
      <c r="B684" s="2">
        <v>45689</v>
      </c>
      <c r="C684" t="s">
        <v>277</v>
      </c>
      <c r="D684" t="s">
        <v>278</v>
      </c>
      <c r="E684" t="s">
        <v>32</v>
      </c>
      <c r="F684">
        <v>33</v>
      </c>
      <c r="G684" t="s">
        <v>105</v>
      </c>
      <c r="H684" t="s">
        <v>105</v>
      </c>
      <c r="I684" t="s">
        <v>163</v>
      </c>
      <c r="J684" t="s">
        <v>214</v>
      </c>
      <c r="K684">
        <v>1</v>
      </c>
      <c r="L684">
        <v>1499</v>
      </c>
      <c r="M684" s="3">
        <v>0.1</v>
      </c>
      <c r="N684">
        <v>1349.1</v>
      </c>
      <c r="O684">
        <v>900</v>
      </c>
      <c r="P684">
        <v>449.1</v>
      </c>
      <c r="Q684" t="s">
        <v>27</v>
      </c>
      <c r="R684" t="s">
        <v>28</v>
      </c>
      <c r="S684">
        <v>5</v>
      </c>
    </row>
    <row r="685" spans="1:19">
      <c r="A685" t="s">
        <v>1028</v>
      </c>
      <c r="B685" s="2">
        <v>46073</v>
      </c>
      <c r="C685" t="s">
        <v>632</v>
      </c>
      <c r="D685" t="s">
        <v>633</v>
      </c>
      <c r="E685" t="s">
        <v>22</v>
      </c>
      <c r="F685">
        <v>33</v>
      </c>
      <c r="G685" t="s">
        <v>55</v>
      </c>
      <c r="H685" t="s">
        <v>34</v>
      </c>
      <c r="I685" t="s">
        <v>75</v>
      </c>
      <c r="J685" t="s">
        <v>76</v>
      </c>
      <c r="K685">
        <v>3</v>
      </c>
      <c r="L685">
        <v>399</v>
      </c>
      <c r="M685" s="3">
        <v>0.15</v>
      </c>
      <c r="N685">
        <v>1017.45</v>
      </c>
      <c r="O685">
        <v>660</v>
      </c>
      <c r="P685">
        <v>357.45</v>
      </c>
      <c r="Q685" t="s">
        <v>66</v>
      </c>
      <c r="R685" t="s">
        <v>28</v>
      </c>
      <c r="S685">
        <v>2</v>
      </c>
    </row>
    <row r="686" spans="1:19">
      <c r="A686" t="s">
        <v>1029</v>
      </c>
      <c r="B686" s="2">
        <v>46226</v>
      </c>
      <c r="C686" t="s">
        <v>458</v>
      </c>
      <c r="D686" t="s">
        <v>459</v>
      </c>
      <c r="E686" t="s">
        <v>32</v>
      </c>
      <c r="F686">
        <v>40</v>
      </c>
      <c r="G686" t="s">
        <v>60</v>
      </c>
      <c r="H686" t="s">
        <v>61</v>
      </c>
      <c r="I686" t="s">
        <v>35</v>
      </c>
      <c r="J686" t="s">
        <v>36</v>
      </c>
      <c r="K686">
        <v>2</v>
      </c>
      <c r="L686">
        <v>599</v>
      </c>
      <c r="M686" s="3">
        <v>0.05</v>
      </c>
      <c r="N686">
        <v>1138.0999999999999</v>
      </c>
      <c r="O686">
        <v>640</v>
      </c>
      <c r="P686">
        <v>498.1</v>
      </c>
      <c r="Q686" t="s">
        <v>66</v>
      </c>
      <c r="R686" t="s">
        <v>137</v>
      </c>
      <c r="S686">
        <v>3</v>
      </c>
    </row>
    <row r="687" spans="1:19">
      <c r="A687" t="s">
        <v>1030</v>
      </c>
      <c r="B687" s="2">
        <v>45795</v>
      </c>
      <c r="C687" t="s">
        <v>491</v>
      </c>
      <c r="D687" t="s">
        <v>92</v>
      </c>
      <c r="E687" t="s">
        <v>22</v>
      </c>
      <c r="F687">
        <v>25</v>
      </c>
      <c r="G687" t="s">
        <v>23</v>
      </c>
      <c r="H687" t="s">
        <v>24</v>
      </c>
      <c r="I687" t="s">
        <v>25</v>
      </c>
      <c r="J687" t="s">
        <v>62</v>
      </c>
      <c r="K687">
        <v>3</v>
      </c>
      <c r="L687">
        <v>1299</v>
      </c>
      <c r="M687" s="3">
        <v>0.05</v>
      </c>
      <c r="N687">
        <v>3702.15</v>
      </c>
      <c r="O687">
        <v>2400</v>
      </c>
      <c r="P687">
        <v>1302.1500000000001</v>
      </c>
      <c r="Q687" t="s">
        <v>69</v>
      </c>
      <c r="R687" t="s">
        <v>28</v>
      </c>
      <c r="S687">
        <v>1</v>
      </c>
    </row>
    <row r="688" spans="1:19">
      <c r="A688" t="s">
        <v>1031</v>
      </c>
      <c r="B688" s="2">
        <v>45797</v>
      </c>
      <c r="C688" t="s">
        <v>598</v>
      </c>
      <c r="D688" t="s">
        <v>225</v>
      </c>
      <c r="E688" t="s">
        <v>22</v>
      </c>
      <c r="F688">
        <v>37</v>
      </c>
      <c r="G688" t="s">
        <v>48</v>
      </c>
      <c r="H688" t="s">
        <v>42</v>
      </c>
      <c r="I688" t="s">
        <v>117</v>
      </c>
      <c r="J688" t="s">
        <v>152</v>
      </c>
      <c r="K688">
        <v>4</v>
      </c>
      <c r="L688">
        <v>899</v>
      </c>
      <c r="M688" s="3">
        <v>0.15</v>
      </c>
      <c r="N688">
        <v>3056.6</v>
      </c>
      <c r="O688">
        <v>2000</v>
      </c>
      <c r="P688">
        <v>1056.5999999999999</v>
      </c>
      <c r="Q688" t="s">
        <v>69</v>
      </c>
      <c r="R688" t="s">
        <v>28</v>
      </c>
      <c r="S688">
        <v>4</v>
      </c>
    </row>
    <row r="689" spans="1:19">
      <c r="A689" t="s">
        <v>1032</v>
      </c>
      <c r="B689" s="2">
        <v>45842</v>
      </c>
      <c r="C689" t="s">
        <v>161</v>
      </c>
      <c r="D689" t="s">
        <v>162</v>
      </c>
      <c r="E689" t="s">
        <v>22</v>
      </c>
      <c r="F689">
        <v>44</v>
      </c>
      <c r="G689" t="s">
        <v>146</v>
      </c>
      <c r="H689" t="s">
        <v>61</v>
      </c>
      <c r="I689" t="s">
        <v>117</v>
      </c>
      <c r="J689" t="s">
        <v>238</v>
      </c>
      <c r="K689">
        <v>4</v>
      </c>
      <c r="L689">
        <v>2499</v>
      </c>
      <c r="M689" s="3">
        <v>0.2</v>
      </c>
      <c r="N689">
        <v>7996.8</v>
      </c>
      <c r="O689">
        <v>6000</v>
      </c>
      <c r="P689">
        <v>1996.8</v>
      </c>
      <c r="Q689" t="s">
        <v>66</v>
      </c>
      <c r="R689" t="s">
        <v>28</v>
      </c>
      <c r="S689">
        <v>5</v>
      </c>
    </row>
    <row r="690" spans="1:19">
      <c r="A690" t="s">
        <v>1033</v>
      </c>
      <c r="B690" s="2">
        <v>45848</v>
      </c>
      <c r="C690" t="s">
        <v>257</v>
      </c>
      <c r="D690" t="s">
        <v>125</v>
      </c>
      <c r="E690" t="s">
        <v>32</v>
      </c>
      <c r="F690">
        <v>52</v>
      </c>
      <c r="G690" t="s">
        <v>33</v>
      </c>
      <c r="H690" t="s">
        <v>34</v>
      </c>
      <c r="I690" t="s">
        <v>163</v>
      </c>
      <c r="J690" t="s">
        <v>290</v>
      </c>
      <c r="K690">
        <v>3</v>
      </c>
      <c r="L690">
        <v>1999</v>
      </c>
      <c r="M690" s="3">
        <v>0.05</v>
      </c>
      <c r="N690">
        <v>5697.15</v>
      </c>
      <c r="O690">
        <v>3600</v>
      </c>
      <c r="P690">
        <v>2097.15</v>
      </c>
      <c r="Q690" t="s">
        <v>66</v>
      </c>
      <c r="R690" t="s">
        <v>28</v>
      </c>
      <c r="S690">
        <v>5</v>
      </c>
    </row>
    <row r="691" spans="1:19">
      <c r="A691" t="s">
        <v>1034</v>
      </c>
      <c r="B691" s="2">
        <v>45933</v>
      </c>
      <c r="C691" t="s">
        <v>207</v>
      </c>
      <c r="D691" t="s">
        <v>72</v>
      </c>
      <c r="E691" t="s">
        <v>22</v>
      </c>
      <c r="F691">
        <v>48</v>
      </c>
      <c r="G691" t="s">
        <v>180</v>
      </c>
      <c r="H691" t="s">
        <v>181</v>
      </c>
      <c r="I691" t="s">
        <v>117</v>
      </c>
      <c r="J691" t="s">
        <v>152</v>
      </c>
      <c r="K691">
        <v>2</v>
      </c>
      <c r="L691">
        <v>899</v>
      </c>
      <c r="M691" s="3">
        <v>0.2</v>
      </c>
      <c r="N691">
        <v>1438.4</v>
      </c>
      <c r="O691">
        <v>1000</v>
      </c>
      <c r="P691">
        <v>438.4</v>
      </c>
      <c r="Q691" t="s">
        <v>66</v>
      </c>
      <c r="R691" t="s">
        <v>77</v>
      </c>
      <c r="S691">
        <v>3</v>
      </c>
    </row>
    <row r="692" spans="1:19">
      <c r="A692" t="s">
        <v>1035</v>
      </c>
      <c r="B692" s="2">
        <v>45773</v>
      </c>
      <c r="C692" t="s">
        <v>236</v>
      </c>
      <c r="D692" t="s">
        <v>237</v>
      </c>
      <c r="E692" t="s">
        <v>32</v>
      </c>
      <c r="F692">
        <v>34</v>
      </c>
      <c r="G692" t="s">
        <v>180</v>
      </c>
      <c r="H692" t="s">
        <v>181</v>
      </c>
      <c r="I692" t="s">
        <v>25</v>
      </c>
      <c r="J692" t="s">
        <v>68</v>
      </c>
      <c r="K692">
        <v>4</v>
      </c>
      <c r="L692">
        <v>2999</v>
      </c>
      <c r="M692" s="3">
        <v>0.1</v>
      </c>
      <c r="N692">
        <v>10796.4</v>
      </c>
      <c r="O692">
        <v>7600</v>
      </c>
      <c r="P692">
        <v>3196.4</v>
      </c>
      <c r="Q692" t="s">
        <v>50</v>
      </c>
      <c r="R692" t="s">
        <v>28</v>
      </c>
      <c r="S692">
        <v>1</v>
      </c>
    </row>
    <row r="693" spans="1:19">
      <c r="A693" t="s">
        <v>1036</v>
      </c>
      <c r="B693" s="2">
        <v>46187</v>
      </c>
      <c r="C693" t="s">
        <v>598</v>
      </c>
      <c r="D693" t="s">
        <v>225</v>
      </c>
      <c r="E693" t="s">
        <v>22</v>
      </c>
      <c r="F693">
        <v>37</v>
      </c>
      <c r="G693" t="s">
        <v>48</v>
      </c>
      <c r="H693" t="s">
        <v>42</v>
      </c>
      <c r="I693" t="s">
        <v>117</v>
      </c>
      <c r="J693" t="s">
        <v>152</v>
      </c>
      <c r="K693">
        <v>3</v>
      </c>
      <c r="L693">
        <v>899</v>
      </c>
      <c r="M693" s="3">
        <v>0.15</v>
      </c>
      <c r="N693">
        <v>2292.4499999999998</v>
      </c>
      <c r="O693">
        <v>1500</v>
      </c>
      <c r="P693">
        <v>792.45</v>
      </c>
      <c r="Q693" t="s">
        <v>69</v>
      </c>
      <c r="R693" t="s">
        <v>28</v>
      </c>
      <c r="S693">
        <v>5</v>
      </c>
    </row>
    <row r="694" spans="1:19">
      <c r="A694" t="s">
        <v>1037</v>
      </c>
      <c r="B694" s="2">
        <v>46210</v>
      </c>
      <c r="C694" t="s">
        <v>692</v>
      </c>
      <c r="D694" t="s">
        <v>343</v>
      </c>
      <c r="E694" t="s">
        <v>22</v>
      </c>
      <c r="F694">
        <v>50</v>
      </c>
      <c r="G694" t="s">
        <v>48</v>
      </c>
      <c r="H694" t="s">
        <v>42</v>
      </c>
      <c r="I694" t="s">
        <v>43</v>
      </c>
      <c r="J694" t="s">
        <v>281</v>
      </c>
      <c r="K694">
        <v>4</v>
      </c>
      <c r="L694">
        <v>2999</v>
      </c>
      <c r="M694" s="3">
        <v>0</v>
      </c>
      <c r="N694">
        <v>11996</v>
      </c>
      <c r="O694">
        <v>7200</v>
      </c>
      <c r="P694">
        <v>4796</v>
      </c>
      <c r="Q694" t="s">
        <v>50</v>
      </c>
      <c r="R694" t="s">
        <v>28</v>
      </c>
      <c r="S694">
        <v>1</v>
      </c>
    </row>
    <row r="695" spans="1:19">
      <c r="A695" t="s">
        <v>1038</v>
      </c>
      <c r="B695" s="2">
        <v>46122</v>
      </c>
      <c r="C695" t="s">
        <v>1039</v>
      </c>
      <c r="D695" t="s">
        <v>333</v>
      </c>
      <c r="E695" t="s">
        <v>22</v>
      </c>
      <c r="F695">
        <v>45</v>
      </c>
      <c r="G695" t="s">
        <v>146</v>
      </c>
      <c r="H695" t="s">
        <v>61</v>
      </c>
      <c r="I695" t="s">
        <v>35</v>
      </c>
      <c r="J695" t="s">
        <v>126</v>
      </c>
      <c r="K695">
        <v>1</v>
      </c>
      <c r="L695">
        <v>1499</v>
      </c>
      <c r="M695" s="3">
        <v>0.15</v>
      </c>
      <c r="N695">
        <v>1274.1500000000001</v>
      </c>
      <c r="O695">
        <v>850</v>
      </c>
      <c r="P695">
        <v>424.15</v>
      </c>
      <c r="Q695" t="s">
        <v>50</v>
      </c>
      <c r="R695" t="s">
        <v>77</v>
      </c>
      <c r="S695">
        <v>3</v>
      </c>
    </row>
    <row r="696" spans="1:19">
      <c r="A696" t="s">
        <v>1040</v>
      </c>
      <c r="B696" s="2">
        <v>45829</v>
      </c>
      <c r="C696" t="s">
        <v>475</v>
      </c>
      <c r="D696" t="s">
        <v>476</v>
      </c>
      <c r="E696" t="s">
        <v>32</v>
      </c>
      <c r="F696">
        <v>51</v>
      </c>
      <c r="G696" t="s">
        <v>141</v>
      </c>
      <c r="H696" t="s">
        <v>142</v>
      </c>
      <c r="I696" t="s">
        <v>163</v>
      </c>
      <c r="J696" t="s">
        <v>214</v>
      </c>
      <c r="K696">
        <v>3</v>
      </c>
      <c r="L696">
        <v>1499</v>
      </c>
      <c r="M696" s="3">
        <v>0.1</v>
      </c>
      <c r="N696">
        <v>4047.3</v>
      </c>
      <c r="O696">
        <v>2700</v>
      </c>
      <c r="P696">
        <v>1347.3</v>
      </c>
      <c r="Q696" t="s">
        <v>69</v>
      </c>
      <c r="R696" t="s">
        <v>28</v>
      </c>
      <c r="S696">
        <v>5</v>
      </c>
    </row>
    <row r="697" spans="1:19">
      <c r="A697" t="s">
        <v>1041</v>
      </c>
      <c r="B697" s="2">
        <v>46142</v>
      </c>
      <c r="C697" t="s">
        <v>227</v>
      </c>
      <c r="D697" t="s">
        <v>228</v>
      </c>
      <c r="E697" t="s">
        <v>22</v>
      </c>
      <c r="F697">
        <v>24</v>
      </c>
      <c r="G697" t="s">
        <v>93</v>
      </c>
      <c r="H697" t="s">
        <v>94</v>
      </c>
      <c r="I697" t="s">
        <v>117</v>
      </c>
      <c r="J697" t="s">
        <v>152</v>
      </c>
      <c r="K697">
        <v>3</v>
      </c>
      <c r="L697">
        <v>899</v>
      </c>
      <c r="M697" s="3">
        <v>0</v>
      </c>
      <c r="N697">
        <v>2697</v>
      </c>
      <c r="O697">
        <v>1500</v>
      </c>
      <c r="P697">
        <v>1197</v>
      </c>
      <c r="Q697" t="s">
        <v>50</v>
      </c>
      <c r="R697" t="s">
        <v>28</v>
      </c>
      <c r="S697">
        <v>1</v>
      </c>
    </row>
    <row r="698" spans="1:19">
      <c r="A698" t="s">
        <v>1042</v>
      </c>
      <c r="B698" s="2">
        <v>46154</v>
      </c>
      <c r="C698" t="s">
        <v>623</v>
      </c>
      <c r="D698" t="s">
        <v>624</v>
      </c>
      <c r="E698" t="s">
        <v>22</v>
      </c>
      <c r="F698">
        <v>52</v>
      </c>
      <c r="G698" t="s">
        <v>60</v>
      </c>
      <c r="H698" t="s">
        <v>61</v>
      </c>
      <c r="I698" t="s">
        <v>117</v>
      </c>
      <c r="J698" t="s">
        <v>152</v>
      </c>
      <c r="K698">
        <v>1</v>
      </c>
      <c r="L698">
        <v>899</v>
      </c>
      <c r="M698" s="3">
        <v>0.1</v>
      </c>
      <c r="N698">
        <v>809.1</v>
      </c>
      <c r="O698">
        <v>500</v>
      </c>
      <c r="P698">
        <v>309.10000000000002</v>
      </c>
      <c r="Q698" t="s">
        <v>69</v>
      </c>
      <c r="R698" t="s">
        <v>28</v>
      </c>
      <c r="S698">
        <v>1</v>
      </c>
    </row>
    <row r="699" spans="1:19">
      <c r="A699" t="s">
        <v>1043</v>
      </c>
      <c r="B699" s="2">
        <v>45945</v>
      </c>
      <c r="C699" t="s">
        <v>120</v>
      </c>
      <c r="D699" t="s">
        <v>121</v>
      </c>
      <c r="E699" t="s">
        <v>32</v>
      </c>
      <c r="F699">
        <v>35</v>
      </c>
      <c r="G699" t="s">
        <v>93</v>
      </c>
      <c r="H699" t="s">
        <v>94</v>
      </c>
      <c r="I699" t="s">
        <v>43</v>
      </c>
      <c r="J699" t="s">
        <v>197</v>
      </c>
      <c r="K699">
        <v>2</v>
      </c>
      <c r="L699">
        <v>1799</v>
      </c>
      <c r="M699" s="3">
        <v>0.2</v>
      </c>
      <c r="N699">
        <v>2878.4</v>
      </c>
      <c r="O699">
        <v>2100</v>
      </c>
      <c r="P699">
        <v>778.4</v>
      </c>
      <c r="Q699" t="s">
        <v>37</v>
      </c>
      <c r="R699" t="s">
        <v>137</v>
      </c>
      <c r="S699">
        <v>1</v>
      </c>
    </row>
    <row r="700" spans="1:19">
      <c r="A700" t="s">
        <v>1044</v>
      </c>
      <c r="B700" s="2">
        <v>45812</v>
      </c>
      <c r="C700" t="s">
        <v>250</v>
      </c>
      <c r="D700" t="s">
        <v>241</v>
      </c>
      <c r="E700" t="s">
        <v>32</v>
      </c>
      <c r="F700">
        <v>18</v>
      </c>
      <c r="G700" t="s">
        <v>251</v>
      </c>
      <c r="H700" t="s">
        <v>251</v>
      </c>
      <c r="I700" t="s">
        <v>75</v>
      </c>
      <c r="J700" t="s">
        <v>106</v>
      </c>
      <c r="K700">
        <v>2</v>
      </c>
      <c r="L700">
        <v>899</v>
      </c>
      <c r="M700" s="3">
        <v>0.2</v>
      </c>
      <c r="N700">
        <v>1438.4</v>
      </c>
      <c r="O700">
        <v>1200</v>
      </c>
      <c r="P700">
        <v>238.4</v>
      </c>
      <c r="Q700" t="s">
        <v>66</v>
      </c>
      <c r="R700" t="s">
        <v>28</v>
      </c>
      <c r="S700">
        <v>2</v>
      </c>
    </row>
    <row r="701" spans="1:19">
      <c r="A701" t="s">
        <v>1045</v>
      </c>
      <c r="B701" s="2">
        <v>45843</v>
      </c>
      <c r="C701" t="s">
        <v>641</v>
      </c>
      <c r="D701" t="s">
        <v>72</v>
      </c>
      <c r="E701" t="s">
        <v>32</v>
      </c>
      <c r="F701">
        <v>51</v>
      </c>
      <c r="G701" t="s">
        <v>115</v>
      </c>
      <c r="H701" t="s">
        <v>116</v>
      </c>
      <c r="I701" t="s">
        <v>117</v>
      </c>
      <c r="J701" t="s">
        <v>238</v>
      </c>
      <c r="K701">
        <v>2</v>
      </c>
      <c r="L701">
        <v>2499</v>
      </c>
      <c r="M701" s="3">
        <v>0.15</v>
      </c>
      <c r="N701">
        <v>4248.3</v>
      </c>
      <c r="O701">
        <v>3000</v>
      </c>
      <c r="P701">
        <v>1248.3</v>
      </c>
      <c r="Q701" t="s">
        <v>50</v>
      </c>
      <c r="R701" t="s">
        <v>137</v>
      </c>
      <c r="S701">
        <v>3</v>
      </c>
    </row>
    <row r="702" spans="1:19">
      <c r="A702" t="s">
        <v>1046</v>
      </c>
      <c r="B702" s="2">
        <v>46080</v>
      </c>
      <c r="C702" t="s">
        <v>801</v>
      </c>
      <c r="D702" t="s">
        <v>225</v>
      </c>
      <c r="E702" t="s">
        <v>32</v>
      </c>
      <c r="F702">
        <v>55</v>
      </c>
      <c r="G702" t="s">
        <v>41</v>
      </c>
      <c r="H702" t="s">
        <v>42</v>
      </c>
      <c r="I702" t="s">
        <v>25</v>
      </c>
      <c r="J702" t="s">
        <v>62</v>
      </c>
      <c r="K702">
        <v>2</v>
      </c>
      <c r="L702">
        <v>1299</v>
      </c>
      <c r="M702" s="3">
        <v>0.15</v>
      </c>
      <c r="N702">
        <v>2208.3000000000002</v>
      </c>
      <c r="O702">
        <v>1600</v>
      </c>
      <c r="P702">
        <v>608.29999999999995</v>
      </c>
      <c r="Q702" t="s">
        <v>66</v>
      </c>
      <c r="R702" t="s">
        <v>28</v>
      </c>
      <c r="S702">
        <v>4</v>
      </c>
    </row>
    <row r="703" spans="1:19">
      <c r="A703" t="s">
        <v>1047</v>
      </c>
      <c r="B703" s="2">
        <v>45928</v>
      </c>
      <c r="C703" t="s">
        <v>553</v>
      </c>
      <c r="D703" t="s">
        <v>554</v>
      </c>
      <c r="E703" t="s">
        <v>22</v>
      </c>
      <c r="F703">
        <v>54</v>
      </c>
      <c r="G703" t="s">
        <v>23</v>
      </c>
      <c r="H703" t="s">
        <v>24</v>
      </c>
      <c r="I703" t="s">
        <v>43</v>
      </c>
      <c r="J703" t="s">
        <v>49</v>
      </c>
      <c r="K703">
        <v>3</v>
      </c>
      <c r="L703">
        <v>799</v>
      </c>
      <c r="M703" s="3">
        <v>0</v>
      </c>
      <c r="N703">
        <v>2397</v>
      </c>
      <c r="O703">
        <v>1350</v>
      </c>
      <c r="P703">
        <v>1047</v>
      </c>
      <c r="Q703" t="s">
        <v>69</v>
      </c>
      <c r="R703" t="s">
        <v>28</v>
      </c>
      <c r="S703">
        <v>4</v>
      </c>
    </row>
    <row r="704" spans="1:19">
      <c r="A704" t="s">
        <v>1048</v>
      </c>
      <c r="B704" s="2">
        <v>46203</v>
      </c>
      <c r="C704" t="s">
        <v>124</v>
      </c>
      <c r="D704" t="s">
        <v>125</v>
      </c>
      <c r="E704" t="s">
        <v>32</v>
      </c>
      <c r="F704">
        <v>22</v>
      </c>
      <c r="G704" t="s">
        <v>48</v>
      </c>
      <c r="H704" t="s">
        <v>42</v>
      </c>
      <c r="I704" t="s">
        <v>35</v>
      </c>
      <c r="J704" t="s">
        <v>36</v>
      </c>
      <c r="K704">
        <v>3</v>
      </c>
      <c r="L704">
        <v>599</v>
      </c>
      <c r="M704" s="3">
        <v>0.15</v>
      </c>
      <c r="N704">
        <v>1527.45</v>
      </c>
      <c r="O704">
        <v>960</v>
      </c>
      <c r="P704">
        <v>567.45000000000005</v>
      </c>
      <c r="Q704" t="s">
        <v>27</v>
      </c>
      <c r="R704" t="s">
        <v>28</v>
      </c>
      <c r="S704">
        <v>4</v>
      </c>
    </row>
    <row r="705" spans="1:19">
      <c r="A705" t="s">
        <v>1049</v>
      </c>
      <c r="B705" s="2">
        <v>46103</v>
      </c>
      <c r="C705" t="s">
        <v>433</v>
      </c>
      <c r="D705" t="s">
        <v>92</v>
      </c>
      <c r="E705" t="s">
        <v>32</v>
      </c>
      <c r="F705">
        <v>28</v>
      </c>
      <c r="G705" t="s">
        <v>93</v>
      </c>
      <c r="H705" t="s">
        <v>94</v>
      </c>
      <c r="I705" t="s">
        <v>43</v>
      </c>
      <c r="J705" t="s">
        <v>197</v>
      </c>
      <c r="K705">
        <v>2</v>
      </c>
      <c r="L705">
        <v>1799</v>
      </c>
      <c r="M705" s="3">
        <v>0.2</v>
      </c>
      <c r="N705">
        <v>2878.4</v>
      </c>
      <c r="O705">
        <v>2100</v>
      </c>
      <c r="P705">
        <v>778.4</v>
      </c>
      <c r="Q705" t="s">
        <v>69</v>
      </c>
      <c r="R705" t="s">
        <v>28</v>
      </c>
      <c r="S705">
        <v>4</v>
      </c>
    </row>
    <row r="706" spans="1:19">
      <c r="A706" t="s">
        <v>1050</v>
      </c>
      <c r="B706" s="2">
        <v>45700</v>
      </c>
      <c r="C706" t="s">
        <v>192</v>
      </c>
      <c r="D706" t="s">
        <v>193</v>
      </c>
      <c r="E706" t="s">
        <v>32</v>
      </c>
      <c r="F706">
        <v>47</v>
      </c>
      <c r="G706" t="s">
        <v>93</v>
      </c>
      <c r="H706" t="s">
        <v>94</v>
      </c>
      <c r="I706" t="s">
        <v>117</v>
      </c>
      <c r="J706" t="s">
        <v>118</v>
      </c>
      <c r="K706">
        <v>3</v>
      </c>
      <c r="L706">
        <v>999</v>
      </c>
      <c r="M706" s="3">
        <v>0.2</v>
      </c>
      <c r="N706">
        <v>2397.6</v>
      </c>
      <c r="O706">
        <v>1650</v>
      </c>
      <c r="P706">
        <v>747.6</v>
      </c>
      <c r="Q706" t="s">
        <v>69</v>
      </c>
      <c r="R706" t="s">
        <v>77</v>
      </c>
      <c r="S706">
        <v>3</v>
      </c>
    </row>
    <row r="707" spans="1:19">
      <c r="A707" t="s">
        <v>1051</v>
      </c>
      <c r="B707" s="2">
        <v>45934</v>
      </c>
      <c r="C707" t="s">
        <v>267</v>
      </c>
      <c r="D707" t="s">
        <v>268</v>
      </c>
      <c r="E707" t="s">
        <v>22</v>
      </c>
      <c r="F707">
        <v>35</v>
      </c>
      <c r="G707" t="s">
        <v>141</v>
      </c>
      <c r="H707" t="s">
        <v>142</v>
      </c>
      <c r="I707" t="s">
        <v>75</v>
      </c>
      <c r="J707" t="s">
        <v>106</v>
      </c>
      <c r="K707">
        <v>3</v>
      </c>
      <c r="L707">
        <v>899</v>
      </c>
      <c r="M707" s="3">
        <v>0.1</v>
      </c>
      <c r="N707">
        <v>2427.3000000000002</v>
      </c>
      <c r="O707">
        <v>1800</v>
      </c>
      <c r="P707">
        <v>627.29999999999995</v>
      </c>
      <c r="Q707" t="s">
        <v>37</v>
      </c>
      <c r="R707" t="s">
        <v>137</v>
      </c>
      <c r="S707">
        <v>3</v>
      </c>
    </row>
    <row r="708" spans="1:19">
      <c r="A708" t="s">
        <v>1052</v>
      </c>
      <c r="B708" s="2">
        <v>46260</v>
      </c>
      <c r="C708" t="s">
        <v>264</v>
      </c>
      <c r="D708" t="s">
        <v>265</v>
      </c>
      <c r="E708" t="s">
        <v>22</v>
      </c>
      <c r="F708">
        <v>48</v>
      </c>
      <c r="G708" t="s">
        <v>23</v>
      </c>
      <c r="H708" t="s">
        <v>24</v>
      </c>
      <c r="I708" t="s">
        <v>163</v>
      </c>
      <c r="J708" t="s">
        <v>290</v>
      </c>
      <c r="K708">
        <v>4</v>
      </c>
      <c r="L708">
        <v>1999</v>
      </c>
      <c r="M708" s="3">
        <v>0.05</v>
      </c>
      <c r="N708">
        <v>7596.2</v>
      </c>
      <c r="O708">
        <v>4800</v>
      </c>
      <c r="P708">
        <v>2796.2</v>
      </c>
      <c r="Q708" t="s">
        <v>27</v>
      </c>
      <c r="R708" t="s">
        <v>28</v>
      </c>
      <c r="S708">
        <v>2</v>
      </c>
    </row>
    <row r="709" spans="1:19">
      <c r="A709" t="s">
        <v>1053</v>
      </c>
      <c r="B709" s="2">
        <v>45727</v>
      </c>
      <c r="C709" t="s">
        <v>436</v>
      </c>
      <c r="D709" t="s">
        <v>437</v>
      </c>
      <c r="E709" t="s">
        <v>32</v>
      </c>
      <c r="F709">
        <v>44</v>
      </c>
      <c r="G709" t="s">
        <v>73</v>
      </c>
      <c r="H709" t="s">
        <v>74</v>
      </c>
      <c r="I709" t="s">
        <v>35</v>
      </c>
      <c r="J709" t="s">
        <v>126</v>
      </c>
      <c r="K709">
        <v>1</v>
      </c>
      <c r="L709">
        <v>1499</v>
      </c>
      <c r="M709" s="3">
        <v>0</v>
      </c>
      <c r="N709">
        <v>1499</v>
      </c>
      <c r="O709">
        <v>850</v>
      </c>
      <c r="P709">
        <v>649</v>
      </c>
      <c r="Q709" t="s">
        <v>69</v>
      </c>
      <c r="R709" t="s">
        <v>28</v>
      </c>
      <c r="S709">
        <v>5</v>
      </c>
    </row>
    <row r="710" spans="1:19">
      <c r="A710" t="s">
        <v>1054</v>
      </c>
      <c r="B710" s="2">
        <v>45882</v>
      </c>
      <c r="C710" t="s">
        <v>595</v>
      </c>
      <c r="D710" t="s">
        <v>596</v>
      </c>
      <c r="E710" t="s">
        <v>22</v>
      </c>
      <c r="F710">
        <v>25</v>
      </c>
      <c r="G710" t="s">
        <v>180</v>
      </c>
      <c r="H710" t="s">
        <v>181</v>
      </c>
      <c r="I710" t="s">
        <v>117</v>
      </c>
      <c r="J710" t="s">
        <v>118</v>
      </c>
      <c r="K710">
        <v>4</v>
      </c>
      <c r="L710">
        <v>999</v>
      </c>
      <c r="M710" s="3">
        <v>0.1</v>
      </c>
      <c r="N710">
        <v>3596.4</v>
      </c>
      <c r="O710">
        <v>2200</v>
      </c>
      <c r="P710">
        <v>1396.4</v>
      </c>
      <c r="Q710" t="s">
        <v>37</v>
      </c>
      <c r="R710" t="s">
        <v>28</v>
      </c>
      <c r="S710">
        <v>1</v>
      </c>
    </row>
    <row r="711" spans="1:19">
      <c r="A711" t="s">
        <v>1055</v>
      </c>
      <c r="B711" s="2">
        <v>46266</v>
      </c>
      <c r="C711" t="s">
        <v>390</v>
      </c>
      <c r="D711" t="s">
        <v>391</v>
      </c>
      <c r="E711" t="s">
        <v>32</v>
      </c>
      <c r="F711">
        <v>27</v>
      </c>
      <c r="G711" t="s">
        <v>55</v>
      </c>
      <c r="H711" t="s">
        <v>34</v>
      </c>
      <c r="I711" t="s">
        <v>75</v>
      </c>
      <c r="J711" t="s">
        <v>106</v>
      </c>
      <c r="K711">
        <v>1</v>
      </c>
      <c r="L711">
        <v>899</v>
      </c>
      <c r="M711" s="3">
        <v>0</v>
      </c>
      <c r="N711">
        <v>899</v>
      </c>
      <c r="O711">
        <v>600</v>
      </c>
      <c r="P711">
        <v>299</v>
      </c>
      <c r="Q711" t="s">
        <v>27</v>
      </c>
      <c r="R711" t="s">
        <v>51</v>
      </c>
      <c r="S711">
        <v>1</v>
      </c>
    </row>
    <row r="712" spans="1:19">
      <c r="A712" t="s">
        <v>1056</v>
      </c>
      <c r="B712" s="2">
        <v>46237</v>
      </c>
      <c r="C712" t="s">
        <v>562</v>
      </c>
      <c r="D712" t="s">
        <v>563</v>
      </c>
      <c r="E712" t="s">
        <v>22</v>
      </c>
      <c r="F712">
        <v>27</v>
      </c>
      <c r="G712" t="s">
        <v>180</v>
      </c>
      <c r="H712" t="s">
        <v>181</v>
      </c>
      <c r="I712" t="s">
        <v>25</v>
      </c>
      <c r="J712" t="s">
        <v>26</v>
      </c>
      <c r="K712">
        <v>2</v>
      </c>
      <c r="L712">
        <v>2499</v>
      </c>
      <c r="M712" s="3">
        <v>0.15</v>
      </c>
      <c r="N712">
        <v>4248.3</v>
      </c>
      <c r="O712">
        <v>3200</v>
      </c>
      <c r="P712">
        <v>1048.3</v>
      </c>
      <c r="Q712" t="s">
        <v>27</v>
      </c>
      <c r="R712" t="s">
        <v>77</v>
      </c>
      <c r="S712">
        <v>2</v>
      </c>
    </row>
    <row r="713" spans="1:19">
      <c r="A713" t="s">
        <v>1057</v>
      </c>
      <c r="B713" s="2">
        <v>46122</v>
      </c>
      <c r="C713" t="s">
        <v>209</v>
      </c>
      <c r="D713" t="s">
        <v>210</v>
      </c>
      <c r="E713" t="s">
        <v>32</v>
      </c>
      <c r="F713">
        <v>26</v>
      </c>
      <c r="G713" t="s">
        <v>23</v>
      </c>
      <c r="H713" t="s">
        <v>24</v>
      </c>
      <c r="I713" t="s">
        <v>43</v>
      </c>
      <c r="J713" t="s">
        <v>44</v>
      </c>
      <c r="K713">
        <v>4</v>
      </c>
      <c r="L713">
        <v>1599</v>
      </c>
      <c r="M713" s="3">
        <v>0</v>
      </c>
      <c r="N713">
        <v>6396</v>
      </c>
      <c r="O713">
        <v>3800</v>
      </c>
      <c r="P713">
        <v>2596</v>
      </c>
      <c r="Q713" t="s">
        <v>37</v>
      </c>
      <c r="R713" t="s">
        <v>28</v>
      </c>
      <c r="S713">
        <v>3</v>
      </c>
    </row>
    <row r="714" spans="1:19">
      <c r="A714" t="s">
        <v>1058</v>
      </c>
      <c r="B714" s="2">
        <v>45721</v>
      </c>
      <c r="C714" t="s">
        <v>273</v>
      </c>
      <c r="D714" t="s">
        <v>274</v>
      </c>
      <c r="E714" t="s">
        <v>22</v>
      </c>
      <c r="F714">
        <v>41</v>
      </c>
      <c r="G714" t="s">
        <v>105</v>
      </c>
      <c r="H714" t="s">
        <v>105</v>
      </c>
      <c r="I714" t="s">
        <v>43</v>
      </c>
      <c r="J714" t="s">
        <v>95</v>
      </c>
      <c r="K714">
        <v>1</v>
      </c>
      <c r="L714">
        <v>2499</v>
      </c>
      <c r="M714" s="3">
        <v>0.1</v>
      </c>
      <c r="N714">
        <v>2249.1</v>
      </c>
      <c r="O714">
        <v>1500</v>
      </c>
      <c r="P714">
        <v>749.1</v>
      </c>
      <c r="Q714" t="s">
        <v>66</v>
      </c>
      <c r="R714" t="s">
        <v>28</v>
      </c>
      <c r="S714">
        <v>1</v>
      </c>
    </row>
    <row r="715" spans="1:19">
      <c r="A715" t="s">
        <v>1059</v>
      </c>
      <c r="B715" s="2">
        <v>45729</v>
      </c>
      <c r="C715" t="s">
        <v>641</v>
      </c>
      <c r="D715" t="s">
        <v>72</v>
      </c>
      <c r="E715" t="s">
        <v>32</v>
      </c>
      <c r="F715">
        <v>51</v>
      </c>
      <c r="G715" t="s">
        <v>115</v>
      </c>
      <c r="H715" t="s">
        <v>116</v>
      </c>
      <c r="I715" t="s">
        <v>43</v>
      </c>
      <c r="J715" t="s">
        <v>197</v>
      </c>
      <c r="K715">
        <v>2</v>
      </c>
      <c r="L715">
        <v>1799</v>
      </c>
      <c r="M715" s="3">
        <v>0.15</v>
      </c>
      <c r="N715">
        <v>3058.3</v>
      </c>
      <c r="O715">
        <v>2100</v>
      </c>
      <c r="P715">
        <v>958.3</v>
      </c>
      <c r="Q715" t="s">
        <v>66</v>
      </c>
      <c r="R715" t="s">
        <v>51</v>
      </c>
      <c r="S715">
        <v>2</v>
      </c>
    </row>
    <row r="716" spans="1:19">
      <c r="A716" t="s">
        <v>1060</v>
      </c>
      <c r="B716" s="2">
        <v>45805</v>
      </c>
      <c r="C716" t="s">
        <v>632</v>
      </c>
      <c r="D716" t="s">
        <v>633</v>
      </c>
      <c r="E716" t="s">
        <v>22</v>
      </c>
      <c r="F716">
        <v>33</v>
      </c>
      <c r="G716" t="s">
        <v>55</v>
      </c>
      <c r="H716" t="s">
        <v>34</v>
      </c>
      <c r="I716" t="s">
        <v>43</v>
      </c>
      <c r="J716" t="s">
        <v>95</v>
      </c>
      <c r="K716">
        <v>4</v>
      </c>
      <c r="L716">
        <v>2499</v>
      </c>
      <c r="M716" s="3">
        <v>0</v>
      </c>
      <c r="N716">
        <v>9996</v>
      </c>
      <c r="O716">
        <v>6000</v>
      </c>
      <c r="P716">
        <v>3996</v>
      </c>
      <c r="Q716" t="s">
        <v>50</v>
      </c>
      <c r="R716" t="s">
        <v>28</v>
      </c>
      <c r="S716">
        <v>2</v>
      </c>
    </row>
    <row r="717" spans="1:19">
      <c r="A717" t="s">
        <v>1061</v>
      </c>
      <c r="B717" s="2">
        <v>45693</v>
      </c>
      <c r="C717" t="s">
        <v>453</v>
      </c>
      <c r="D717" t="s">
        <v>454</v>
      </c>
      <c r="E717" t="s">
        <v>32</v>
      </c>
      <c r="F717">
        <v>25</v>
      </c>
      <c r="G717" t="s">
        <v>141</v>
      </c>
      <c r="H717" t="s">
        <v>142</v>
      </c>
      <c r="I717" t="s">
        <v>35</v>
      </c>
      <c r="J717" t="s">
        <v>136</v>
      </c>
      <c r="K717">
        <v>3</v>
      </c>
      <c r="L717">
        <v>799</v>
      </c>
      <c r="M717" s="3">
        <v>0</v>
      </c>
      <c r="N717">
        <v>2397</v>
      </c>
      <c r="O717">
        <v>1350</v>
      </c>
      <c r="P717">
        <v>1047</v>
      </c>
      <c r="Q717" t="s">
        <v>69</v>
      </c>
      <c r="R717" t="s">
        <v>28</v>
      </c>
      <c r="S717">
        <v>3</v>
      </c>
    </row>
    <row r="718" spans="1:19">
      <c r="A718" t="s">
        <v>1062</v>
      </c>
      <c r="B718" s="2">
        <v>45658</v>
      </c>
      <c r="C718" t="s">
        <v>317</v>
      </c>
      <c r="D718" t="s">
        <v>318</v>
      </c>
      <c r="E718" t="s">
        <v>22</v>
      </c>
      <c r="F718">
        <v>31</v>
      </c>
      <c r="G718" t="s">
        <v>33</v>
      </c>
      <c r="H718" t="s">
        <v>34</v>
      </c>
      <c r="I718" t="s">
        <v>25</v>
      </c>
      <c r="J718" t="s">
        <v>156</v>
      </c>
      <c r="K718">
        <v>4</v>
      </c>
      <c r="L718">
        <v>1999</v>
      </c>
      <c r="M718" s="3">
        <v>0.05</v>
      </c>
      <c r="N718">
        <v>7596.2</v>
      </c>
      <c r="O718">
        <v>5200</v>
      </c>
      <c r="P718">
        <v>2396.1999999999998</v>
      </c>
      <c r="Q718" t="s">
        <v>69</v>
      </c>
      <c r="R718" t="s">
        <v>28</v>
      </c>
      <c r="S718">
        <v>3</v>
      </c>
    </row>
    <row r="719" spans="1:19">
      <c r="A719" t="s">
        <v>1063</v>
      </c>
      <c r="B719" s="2">
        <v>46246</v>
      </c>
      <c r="C719" t="s">
        <v>158</v>
      </c>
      <c r="D719" t="s">
        <v>159</v>
      </c>
      <c r="E719" t="s">
        <v>32</v>
      </c>
      <c r="F719">
        <v>19</v>
      </c>
      <c r="G719" t="s">
        <v>60</v>
      </c>
      <c r="H719" t="s">
        <v>61</v>
      </c>
      <c r="I719" t="s">
        <v>117</v>
      </c>
      <c r="J719" t="s">
        <v>238</v>
      </c>
      <c r="K719">
        <v>3</v>
      </c>
      <c r="L719">
        <v>2499</v>
      </c>
      <c r="M719" s="3">
        <v>0.15</v>
      </c>
      <c r="N719">
        <v>6372.45</v>
      </c>
      <c r="O719">
        <v>4500</v>
      </c>
      <c r="P719">
        <v>1872.45</v>
      </c>
      <c r="Q719" t="s">
        <v>69</v>
      </c>
      <c r="R719" t="s">
        <v>28</v>
      </c>
      <c r="S719">
        <v>4</v>
      </c>
    </row>
    <row r="720" spans="1:19">
      <c r="A720" t="s">
        <v>1064</v>
      </c>
      <c r="B720" s="2">
        <v>46211</v>
      </c>
      <c r="C720" t="s">
        <v>448</v>
      </c>
      <c r="D720" t="s">
        <v>449</v>
      </c>
      <c r="E720" t="s">
        <v>22</v>
      </c>
      <c r="F720">
        <v>43</v>
      </c>
      <c r="G720" t="s">
        <v>81</v>
      </c>
      <c r="H720" t="s">
        <v>82</v>
      </c>
      <c r="I720" t="s">
        <v>163</v>
      </c>
      <c r="J720" t="s">
        <v>234</v>
      </c>
      <c r="K720">
        <v>4</v>
      </c>
      <c r="L720">
        <v>999</v>
      </c>
      <c r="M720" s="3">
        <v>0</v>
      </c>
      <c r="N720">
        <v>3996</v>
      </c>
      <c r="O720">
        <v>2400</v>
      </c>
      <c r="P720">
        <v>1596</v>
      </c>
      <c r="Q720" t="s">
        <v>27</v>
      </c>
      <c r="R720" t="s">
        <v>28</v>
      </c>
      <c r="S720">
        <v>4</v>
      </c>
    </row>
    <row r="721" spans="1:19">
      <c r="A721" t="s">
        <v>1065</v>
      </c>
      <c r="B721" s="2">
        <v>45968</v>
      </c>
      <c r="C721" t="s">
        <v>243</v>
      </c>
      <c r="D721" t="s">
        <v>244</v>
      </c>
      <c r="E721" t="s">
        <v>22</v>
      </c>
      <c r="F721">
        <v>38</v>
      </c>
      <c r="G721" t="s">
        <v>23</v>
      </c>
      <c r="H721" t="s">
        <v>24</v>
      </c>
      <c r="I721" t="s">
        <v>75</v>
      </c>
      <c r="J721" t="s">
        <v>86</v>
      </c>
      <c r="K721">
        <v>3</v>
      </c>
      <c r="L721">
        <v>499</v>
      </c>
      <c r="M721" s="3">
        <v>0.1</v>
      </c>
      <c r="N721">
        <v>1347.3</v>
      </c>
      <c r="O721">
        <v>900</v>
      </c>
      <c r="P721">
        <v>447.3</v>
      </c>
      <c r="Q721" t="s">
        <v>66</v>
      </c>
      <c r="R721" t="s">
        <v>28</v>
      </c>
      <c r="S721">
        <v>1</v>
      </c>
    </row>
    <row r="722" spans="1:19">
      <c r="A722" t="s">
        <v>1066</v>
      </c>
      <c r="B722" s="2">
        <v>46128</v>
      </c>
      <c r="C722" t="s">
        <v>663</v>
      </c>
      <c r="D722" t="s">
        <v>382</v>
      </c>
      <c r="E722" t="s">
        <v>32</v>
      </c>
      <c r="F722">
        <v>53</v>
      </c>
      <c r="G722" t="s">
        <v>73</v>
      </c>
      <c r="H722" t="s">
        <v>74</v>
      </c>
      <c r="I722" t="s">
        <v>35</v>
      </c>
      <c r="J722" t="s">
        <v>126</v>
      </c>
      <c r="K722">
        <v>3</v>
      </c>
      <c r="L722">
        <v>1499</v>
      </c>
      <c r="M722" s="3">
        <v>0</v>
      </c>
      <c r="N722">
        <v>4497</v>
      </c>
      <c r="O722">
        <v>2550</v>
      </c>
      <c r="P722">
        <v>1947</v>
      </c>
      <c r="Q722" t="s">
        <v>37</v>
      </c>
      <c r="R722" t="s">
        <v>28</v>
      </c>
      <c r="S722">
        <v>2</v>
      </c>
    </row>
    <row r="723" spans="1:19">
      <c r="A723" t="s">
        <v>1067</v>
      </c>
      <c r="B723" s="2">
        <v>45964</v>
      </c>
      <c r="C723" t="s">
        <v>705</v>
      </c>
      <c r="D723" t="s">
        <v>98</v>
      </c>
      <c r="E723" t="s">
        <v>32</v>
      </c>
      <c r="F723">
        <v>47</v>
      </c>
      <c r="G723" t="s">
        <v>141</v>
      </c>
      <c r="H723" t="s">
        <v>142</v>
      </c>
      <c r="I723" t="s">
        <v>25</v>
      </c>
      <c r="J723" t="s">
        <v>68</v>
      </c>
      <c r="K723">
        <v>4</v>
      </c>
      <c r="L723">
        <v>2999</v>
      </c>
      <c r="M723" s="3">
        <v>0.05</v>
      </c>
      <c r="N723">
        <v>11396.2</v>
      </c>
      <c r="O723">
        <v>7600</v>
      </c>
      <c r="P723">
        <v>3796.2</v>
      </c>
      <c r="Q723" t="s">
        <v>66</v>
      </c>
      <c r="R723" t="s">
        <v>77</v>
      </c>
      <c r="S723">
        <v>3</v>
      </c>
    </row>
    <row r="724" spans="1:19">
      <c r="A724" t="s">
        <v>1068</v>
      </c>
      <c r="B724" s="2">
        <v>45801</v>
      </c>
      <c r="C724" t="s">
        <v>178</v>
      </c>
      <c r="D724" t="s">
        <v>179</v>
      </c>
      <c r="E724" t="s">
        <v>32</v>
      </c>
      <c r="F724">
        <v>29</v>
      </c>
      <c r="G724" t="s">
        <v>180</v>
      </c>
      <c r="H724" t="s">
        <v>181</v>
      </c>
      <c r="I724" t="s">
        <v>25</v>
      </c>
      <c r="J724" t="s">
        <v>26</v>
      </c>
      <c r="K724">
        <v>4</v>
      </c>
      <c r="L724">
        <v>2499</v>
      </c>
      <c r="M724" s="3">
        <v>0.05</v>
      </c>
      <c r="N724">
        <v>9496.2000000000007</v>
      </c>
      <c r="O724">
        <v>6400</v>
      </c>
      <c r="P724">
        <v>3096.2</v>
      </c>
      <c r="Q724" t="s">
        <v>69</v>
      </c>
      <c r="R724" t="s">
        <v>28</v>
      </c>
      <c r="S724">
        <v>5</v>
      </c>
    </row>
    <row r="725" spans="1:19">
      <c r="A725" t="s">
        <v>1069</v>
      </c>
      <c r="B725" s="2">
        <v>46211</v>
      </c>
      <c r="C725" t="s">
        <v>363</v>
      </c>
      <c r="D725" t="s">
        <v>155</v>
      </c>
      <c r="E725" t="s">
        <v>32</v>
      </c>
      <c r="F725">
        <v>43</v>
      </c>
      <c r="G725" t="s">
        <v>48</v>
      </c>
      <c r="H725" t="s">
        <v>42</v>
      </c>
      <c r="I725" t="s">
        <v>35</v>
      </c>
      <c r="J725" t="s">
        <v>36</v>
      </c>
      <c r="K725">
        <v>4</v>
      </c>
      <c r="L725">
        <v>599</v>
      </c>
      <c r="M725" s="3">
        <v>0</v>
      </c>
      <c r="N725">
        <v>2396</v>
      </c>
      <c r="O725">
        <v>1280</v>
      </c>
      <c r="P725">
        <v>1116</v>
      </c>
      <c r="Q725" t="s">
        <v>37</v>
      </c>
      <c r="R725" t="s">
        <v>28</v>
      </c>
      <c r="S725">
        <v>4</v>
      </c>
    </row>
    <row r="726" spans="1:19">
      <c r="A726" t="s">
        <v>1070</v>
      </c>
      <c r="B726" s="2">
        <v>46003</v>
      </c>
      <c r="C726" t="s">
        <v>20</v>
      </c>
      <c r="D726" t="s">
        <v>21</v>
      </c>
      <c r="E726" t="s">
        <v>22</v>
      </c>
      <c r="F726">
        <v>52</v>
      </c>
      <c r="G726" t="s">
        <v>23</v>
      </c>
      <c r="H726" t="s">
        <v>24</v>
      </c>
      <c r="I726" t="s">
        <v>25</v>
      </c>
      <c r="J726" t="s">
        <v>68</v>
      </c>
      <c r="K726">
        <v>3</v>
      </c>
      <c r="L726">
        <v>2999</v>
      </c>
      <c r="M726" s="3">
        <v>0</v>
      </c>
      <c r="N726">
        <v>8997</v>
      </c>
      <c r="O726">
        <v>5700</v>
      </c>
      <c r="P726">
        <v>3297</v>
      </c>
      <c r="Q726" t="s">
        <v>69</v>
      </c>
      <c r="R726" t="s">
        <v>28</v>
      </c>
      <c r="S726">
        <v>2</v>
      </c>
    </row>
    <row r="727" spans="1:19">
      <c r="A727" t="s">
        <v>1071</v>
      </c>
      <c r="B727" s="2">
        <v>45896</v>
      </c>
      <c r="C727" t="s">
        <v>329</v>
      </c>
      <c r="D727" t="s">
        <v>330</v>
      </c>
      <c r="E727" t="s">
        <v>22</v>
      </c>
      <c r="F727">
        <v>28</v>
      </c>
      <c r="G727" t="s">
        <v>81</v>
      </c>
      <c r="H727" t="s">
        <v>82</v>
      </c>
      <c r="I727" t="s">
        <v>35</v>
      </c>
      <c r="J727" t="s">
        <v>136</v>
      </c>
      <c r="K727">
        <v>2</v>
      </c>
      <c r="L727">
        <v>799</v>
      </c>
      <c r="M727" s="3">
        <v>0.2</v>
      </c>
      <c r="N727">
        <v>1278.4000000000001</v>
      </c>
      <c r="O727">
        <v>900</v>
      </c>
      <c r="P727">
        <v>378.4</v>
      </c>
      <c r="Q727" t="s">
        <v>69</v>
      </c>
      <c r="R727" t="s">
        <v>28</v>
      </c>
      <c r="S727">
        <v>2</v>
      </c>
    </row>
    <row r="728" spans="1:19">
      <c r="A728" t="s">
        <v>1072</v>
      </c>
      <c r="B728" s="2">
        <v>45704</v>
      </c>
      <c r="C728" t="s">
        <v>64</v>
      </c>
      <c r="D728" t="s">
        <v>65</v>
      </c>
      <c r="E728" t="s">
        <v>32</v>
      </c>
      <c r="F728">
        <v>31</v>
      </c>
      <c r="G728" t="s">
        <v>33</v>
      </c>
      <c r="H728" t="s">
        <v>34</v>
      </c>
      <c r="I728" t="s">
        <v>75</v>
      </c>
      <c r="J728" t="s">
        <v>76</v>
      </c>
      <c r="K728">
        <v>1</v>
      </c>
      <c r="L728">
        <v>399</v>
      </c>
      <c r="M728" s="3">
        <v>0.15</v>
      </c>
      <c r="N728">
        <v>339.15</v>
      </c>
      <c r="O728">
        <v>220</v>
      </c>
      <c r="P728">
        <v>119.15</v>
      </c>
      <c r="Q728" t="s">
        <v>27</v>
      </c>
      <c r="R728" t="s">
        <v>28</v>
      </c>
      <c r="S728">
        <v>2</v>
      </c>
    </row>
    <row r="729" spans="1:19">
      <c r="A729" t="s">
        <v>1073</v>
      </c>
      <c r="B729" s="2">
        <v>45757</v>
      </c>
      <c r="C729" t="s">
        <v>172</v>
      </c>
      <c r="D729" t="s">
        <v>173</v>
      </c>
      <c r="E729" t="s">
        <v>22</v>
      </c>
      <c r="F729">
        <v>50</v>
      </c>
      <c r="G729" t="s">
        <v>48</v>
      </c>
      <c r="H729" t="s">
        <v>42</v>
      </c>
      <c r="I729" t="s">
        <v>43</v>
      </c>
      <c r="J729" t="s">
        <v>95</v>
      </c>
      <c r="K729">
        <v>1</v>
      </c>
      <c r="L729">
        <v>2499</v>
      </c>
      <c r="M729" s="3">
        <v>0.1</v>
      </c>
      <c r="N729">
        <v>2249.1</v>
      </c>
      <c r="O729">
        <v>1500</v>
      </c>
      <c r="P729">
        <v>749.1</v>
      </c>
      <c r="Q729" t="s">
        <v>66</v>
      </c>
      <c r="R729" t="s">
        <v>28</v>
      </c>
      <c r="S729">
        <v>5</v>
      </c>
    </row>
    <row r="730" spans="1:19">
      <c r="A730" t="s">
        <v>1074</v>
      </c>
      <c r="B730" s="2">
        <v>45883</v>
      </c>
      <c r="C730" t="s">
        <v>817</v>
      </c>
      <c r="D730" t="s">
        <v>818</v>
      </c>
      <c r="E730" t="s">
        <v>22</v>
      </c>
      <c r="F730">
        <v>38</v>
      </c>
      <c r="G730" t="s">
        <v>41</v>
      </c>
      <c r="H730" t="s">
        <v>42</v>
      </c>
      <c r="I730" t="s">
        <v>25</v>
      </c>
      <c r="J730" t="s">
        <v>56</v>
      </c>
      <c r="K730">
        <v>1</v>
      </c>
      <c r="L730">
        <v>899</v>
      </c>
      <c r="M730" s="3">
        <v>0.15</v>
      </c>
      <c r="N730">
        <v>764.15</v>
      </c>
      <c r="O730">
        <v>550</v>
      </c>
      <c r="P730">
        <v>214.15</v>
      </c>
      <c r="Q730" t="s">
        <v>69</v>
      </c>
      <c r="R730" t="s">
        <v>137</v>
      </c>
      <c r="S730">
        <v>4</v>
      </c>
    </row>
    <row r="731" spans="1:19">
      <c r="A731" t="s">
        <v>1075</v>
      </c>
      <c r="B731" s="2">
        <v>45781</v>
      </c>
      <c r="C731" t="s">
        <v>175</v>
      </c>
      <c r="D731" t="s">
        <v>176</v>
      </c>
      <c r="E731" t="s">
        <v>32</v>
      </c>
      <c r="F731">
        <v>29</v>
      </c>
      <c r="G731" t="s">
        <v>60</v>
      </c>
      <c r="H731" t="s">
        <v>61</v>
      </c>
      <c r="I731" t="s">
        <v>117</v>
      </c>
      <c r="J731" t="s">
        <v>152</v>
      </c>
      <c r="K731">
        <v>4</v>
      </c>
      <c r="L731">
        <v>899</v>
      </c>
      <c r="M731" s="3">
        <v>0.1</v>
      </c>
      <c r="N731">
        <v>3236.4</v>
      </c>
      <c r="O731">
        <v>2000</v>
      </c>
      <c r="P731">
        <v>1236.4000000000001</v>
      </c>
      <c r="Q731" t="s">
        <v>50</v>
      </c>
      <c r="R731" t="s">
        <v>28</v>
      </c>
      <c r="S731">
        <v>3</v>
      </c>
    </row>
    <row r="732" spans="1:19">
      <c r="A732" t="s">
        <v>1076</v>
      </c>
      <c r="B732" s="2">
        <v>45722</v>
      </c>
      <c r="C732" t="s">
        <v>585</v>
      </c>
      <c r="D732" t="s">
        <v>586</v>
      </c>
      <c r="E732" t="s">
        <v>32</v>
      </c>
      <c r="F732">
        <v>31</v>
      </c>
      <c r="G732" t="s">
        <v>48</v>
      </c>
      <c r="H732" t="s">
        <v>42</v>
      </c>
      <c r="I732" t="s">
        <v>25</v>
      </c>
      <c r="J732" t="s">
        <v>68</v>
      </c>
      <c r="K732">
        <v>2</v>
      </c>
      <c r="L732">
        <v>2999</v>
      </c>
      <c r="M732" s="3">
        <v>0.1</v>
      </c>
      <c r="N732">
        <v>5398.2</v>
      </c>
      <c r="O732">
        <v>3800</v>
      </c>
      <c r="P732">
        <v>1598.2</v>
      </c>
      <c r="Q732" t="s">
        <v>69</v>
      </c>
      <c r="R732" t="s">
        <v>28</v>
      </c>
      <c r="S732">
        <v>4</v>
      </c>
    </row>
    <row r="733" spans="1:19">
      <c r="A733" t="s">
        <v>1077</v>
      </c>
      <c r="B733" s="2">
        <v>45826</v>
      </c>
      <c r="C733" t="s">
        <v>407</v>
      </c>
      <c r="D733" t="s">
        <v>408</v>
      </c>
      <c r="E733" t="s">
        <v>32</v>
      </c>
      <c r="F733">
        <v>44</v>
      </c>
      <c r="G733" t="s">
        <v>48</v>
      </c>
      <c r="H733" t="s">
        <v>42</v>
      </c>
      <c r="I733" t="s">
        <v>117</v>
      </c>
      <c r="J733" t="s">
        <v>238</v>
      </c>
      <c r="K733">
        <v>3</v>
      </c>
      <c r="L733">
        <v>2499</v>
      </c>
      <c r="M733" s="3">
        <v>0.2</v>
      </c>
      <c r="N733">
        <v>5997.6</v>
      </c>
      <c r="O733">
        <v>4500</v>
      </c>
      <c r="P733">
        <v>1497.6</v>
      </c>
      <c r="Q733" t="s">
        <v>66</v>
      </c>
      <c r="R733" t="s">
        <v>28</v>
      </c>
      <c r="S733">
        <v>5</v>
      </c>
    </row>
    <row r="734" spans="1:19">
      <c r="A734" t="s">
        <v>1078</v>
      </c>
      <c r="B734" s="2">
        <v>46043</v>
      </c>
      <c r="C734" t="s">
        <v>496</v>
      </c>
      <c r="D734" t="s">
        <v>408</v>
      </c>
      <c r="E734" t="s">
        <v>32</v>
      </c>
      <c r="F734">
        <v>54</v>
      </c>
      <c r="G734" t="s">
        <v>41</v>
      </c>
      <c r="H734" t="s">
        <v>42</v>
      </c>
      <c r="I734" t="s">
        <v>25</v>
      </c>
      <c r="J734" t="s">
        <v>62</v>
      </c>
      <c r="K734">
        <v>1</v>
      </c>
      <c r="L734">
        <v>1299</v>
      </c>
      <c r="M734" s="3">
        <v>0.2</v>
      </c>
      <c r="N734">
        <v>1039.2</v>
      </c>
      <c r="O734">
        <v>800</v>
      </c>
      <c r="P734">
        <v>239.2</v>
      </c>
      <c r="Q734" t="s">
        <v>27</v>
      </c>
      <c r="R734" t="s">
        <v>28</v>
      </c>
      <c r="S734">
        <v>4</v>
      </c>
    </row>
    <row r="735" spans="1:19">
      <c r="A735" t="s">
        <v>1079</v>
      </c>
      <c r="B735" s="2">
        <v>45749</v>
      </c>
      <c r="C735" t="s">
        <v>295</v>
      </c>
      <c r="D735" t="s">
        <v>296</v>
      </c>
      <c r="E735" t="s">
        <v>22</v>
      </c>
      <c r="F735">
        <v>33</v>
      </c>
      <c r="G735" t="s">
        <v>41</v>
      </c>
      <c r="H735" t="s">
        <v>42</v>
      </c>
      <c r="I735" t="s">
        <v>25</v>
      </c>
      <c r="J735" t="s">
        <v>156</v>
      </c>
      <c r="K735">
        <v>1</v>
      </c>
      <c r="L735">
        <v>1999</v>
      </c>
      <c r="M735" s="3">
        <v>0.05</v>
      </c>
      <c r="N735">
        <v>1899.05</v>
      </c>
      <c r="O735">
        <v>1300</v>
      </c>
      <c r="P735">
        <v>599.04999999999995</v>
      </c>
      <c r="Q735" t="s">
        <v>50</v>
      </c>
      <c r="R735" t="s">
        <v>77</v>
      </c>
      <c r="S735">
        <v>4</v>
      </c>
    </row>
    <row r="736" spans="1:19">
      <c r="A736" t="s">
        <v>1080</v>
      </c>
      <c r="B736" s="2">
        <v>45804</v>
      </c>
      <c r="C736" t="s">
        <v>433</v>
      </c>
      <c r="D736" t="s">
        <v>92</v>
      </c>
      <c r="E736" t="s">
        <v>32</v>
      </c>
      <c r="F736">
        <v>28</v>
      </c>
      <c r="G736" t="s">
        <v>93</v>
      </c>
      <c r="H736" t="s">
        <v>94</v>
      </c>
      <c r="I736" t="s">
        <v>117</v>
      </c>
      <c r="J736" t="s">
        <v>238</v>
      </c>
      <c r="K736">
        <v>2</v>
      </c>
      <c r="L736">
        <v>2499</v>
      </c>
      <c r="M736" s="3">
        <v>0.05</v>
      </c>
      <c r="N736">
        <v>4748.1000000000004</v>
      </c>
      <c r="O736">
        <v>3000</v>
      </c>
      <c r="P736">
        <v>1748.1</v>
      </c>
      <c r="Q736" t="s">
        <v>37</v>
      </c>
      <c r="R736" t="s">
        <v>28</v>
      </c>
      <c r="S736">
        <v>4</v>
      </c>
    </row>
    <row r="737" spans="1:19">
      <c r="A737" t="s">
        <v>1081</v>
      </c>
      <c r="B737" s="2">
        <v>45842</v>
      </c>
      <c r="C737" t="s">
        <v>363</v>
      </c>
      <c r="D737" t="s">
        <v>155</v>
      </c>
      <c r="E737" t="s">
        <v>32</v>
      </c>
      <c r="F737">
        <v>43</v>
      </c>
      <c r="G737" t="s">
        <v>48</v>
      </c>
      <c r="H737" t="s">
        <v>42</v>
      </c>
      <c r="I737" t="s">
        <v>43</v>
      </c>
      <c r="J737" t="s">
        <v>95</v>
      </c>
      <c r="K737">
        <v>1</v>
      </c>
      <c r="L737">
        <v>2499</v>
      </c>
      <c r="M737" s="3">
        <v>0.2</v>
      </c>
      <c r="N737">
        <v>1999.2</v>
      </c>
      <c r="O737">
        <v>1500</v>
      </c>
      <c r="P737">
        <v>499.2</v>
      </c>
      <c r="Q737" t="s">
        <v>66</v>
      </c>
      <c r="R737" t="s">
        <v>28</v>
      </c>
      <c r="S737">
        <v>1</v>
      </c>
    </row>
    <row r="738" spans="1:19">
      <c r="A738" t="s">
        <v>1082</v>
      </c>
      <c r="B738" s="2">
        <v>46229</v>
      </c>
      <c r="C738" t="s">
        <v>227</v>
      </c>
      <c r="D738" t="s">
        <v>228</v>
      </c>
      <c r="E738" t="s">
        <v>22</v>
      </c>
      <c r="F738">
        <v>24</v>
      </c>
      <c r="G738" t="s">
        <v>93</v>
      </c>
      <c r="H738" t="s">
        <v>94</v>
      </c>
      <c r="I738" t="s">
        <v>163</v>
      </c>
      <c r="J738" t="s">
        <v>214</v>
      </c>
      <c r="K738">
        <v>4</v>
      </c>
      <c r="L738">
        <v>1499</v>
      </c>
      <c r="M738" s="3">
        <v>0</v>
      </c>
      <c r="N738">
        <v>5996</v>
      </c>
      <c r="O738">
        <v>3600</v>
      </c>
      <c r="P738">
        <v>2396</v>
      </c>
      <c r="Q738" t="s">
        <v>27</v>
      </c>
      <c r="R738" t="s">
        <v>28</v>
      </c>
      <c r="S738">
        <v>5</v>
      </c>
    </row>
    <row r="739" spans="1:19">
      <c r="A739" t="s">
        <v>1083</v>
      </c>
      <c r="B739" s="2">
        <v>46177</v>
      </c>
      <c r="C739" t="s">
        <v>579</v>
      </c>
      <c r="D739" t="s">
        <v>145</v>
      </c>
      <c r="E739" t="s">
        <v>32</v>
      </c>
      <c r="F739">
        <v>22</v>
      </c>
      <c r="G739" t="s">
        <v>141</v>
      </c>
      <c r="H739" t="s">
        <v>142</v>
      </c>
      <c r="I739" t="s">
        <v>75</v>
      </c>
      <c r="J739" t="s">
        <v>106</v>
      </c>
      <c r="K739">
        <v>3</v>
      </c>
      <c r="L739">
        <v>899</v>
      </c>
      <c r="M739" s="3">
        <v>0.2</v>
      </c>
      <c r="N739">
        <v>2157.6</v>
      </c>
      <c r="O739">
        <v>1800</v>
      </c>
      <c r="P739">
        <v>357.6</v>
      </c>
      <c r="Q739" t="s">
        <v>27</v>
      </c>
      <c r="R739" t="s">
        <v>28</v>
      </c>
      <c r="S739">
        <v>2</v>
      </c>
    </row>
    <row r="740" spans="1:19">
      <c r="A740" t="s">
        <v>1084</v>
      </c>
      <c r="B740" s="2">
        <v>45810</v>
      </c>
      <c r="C740" t="s">
        <v>648</v>
      </c>
      <c r="D740" t="s">
        <v>649</v>
      </c>
      <c r="E740" t="s">
        <v>32</v>
      </c>
      <c r="F740">
        <v>34</v>
      </c>
      <c r="G740" t="s">
        <v>23</v>
      </c>
      <c r="H740" t="s">
        <v>24</v>
      </c>
      <c r="I740" t="s">
        <v>25</v>
      </c>
      <c r="J740" t="s">
        <v>68</v>
      </c>
      <c r="K740">
        <v>2</v>
      </c>
      <c r="L740">
        <v>2999</v>
      </c>
      <c r="M740" s="3">
        <v>0</v>
      </c>
      <c r="N740">
        <v>5998</v>
      </c>
      <c r="O740">
        <v>3800</v>
      </c>
      <c r="P740">
        <v>2198</v>
      </c>
      <c r="Q740" t="s">
        <v>66</v>
      </c>
      <c r="R740" t="s">
        <v>28</v>
      </c>
      <c r="S740">
        <v>2</v>
      </c>
    </row>
    <row r="741" spans="1:19">
      <c r="A741" t="s">
        <v>1085</v>
      </c>
      <c r="B741" s="2">
        <v>45872</v>
      </c>
      <c r="C741" t="s">
        <v>166</v>
      </c>
      <c r="D741" t="s">
        <v>167</v>
      </c>
      <c r="E741" t="s">
        <v>22</v>
      </c>
      <c r="F741">
        <v>36</v>
      </c>
      <c r="G741" t="s">
        <v>146</v>
      </c>
      <c r="H741" t="s">
        <v>61</v>
      </c>
      <c r="I741" t="s">
        <v>25</v>
      </c>
      <c r="J741" t="s">
        <v>68</v>
      </c>
      <c r="K741">
        <v>3</v>
      </c>
      <c r="L741">
        <v>2999</v>
      </c>
      <c r="M741" s="3">
        <v>0.1</v>
      </c>
      <c r="N741">
        <v>8097.3</v>
      </c>
      <c r="O741">
        <v>5700</v>
      </c>
      <c r="P741">
        <v>2397.3000000000002</v>
      </c>
      <c r="Q741" t="s">
        <v>66</v>
      </c>
      <c r="R741" t="s">
        <v>28</v>
      </c>
      <c r="S741">
        <v>5</v>
      </c>
    </row>
    <row r="742" spans="1:19">
      <c r="A742" t="s">
        <v>1086</v>
      </c>
      <c r="B742" s="2">
        <v>46208</v>
      </c>
      <c r="C742" t="s">
        <v>161</v>
      </c>
      <c r="D742" t="s">
        <v>162</v>
      </c>
      <c r="E742" t="s">
        <v>22</v>
      </c>
      <c r="F742">
        <v>44</v>
      </c>
      <c r="G742" t="s">
        <v>146</v>
      </c>
      <c r="H742" t="s">
        <v>61</v>
      </c>
      <c r="I742" t="s">
        <v>25</v>
      </c>
      <c r="J742" t="s">
        <v>68</v>
      </c>
      <c r="K742">
        <v>1</v>
      </c>
      <c r="L742">
        <v>2999</v>
      </c>
      <c r="M742" s="3">
        <v>0</v>
      </c>
      <c r="N742">
        <v>2999</v>
      </c>
      <c r="O742">
        <v>1900</v>
      </c>
      <c r="P742">
        <v>1099</v>
      </c>
      <c r="Q742" t="s">
        <v>27</v>
      </c>
      <c r="R742" t="s">
        <v>28</v>
      </c>
      <c r="S742">
        <v>1</v>
      </c>
    </row>
    <row r="743" spans="1:19">
      <c r="A743" t="s">
        <v>1087</v>
      </c>
      <c r="B743" s="2">
        <v>45898</v>
      </c>
      <c r="C743" t="s">
        <v>178</v>
      </c>
      <c r="D743" t="s">
        <v>179</v>
      </c>
      <c r="E743" t="s">
        <v>32</v>
      </c>
      <c r="F743">
        <v>29</v>
      </c>
      <c r="G743" t="s">
        <v>180</v>
      </c>
      <c r="H743" t="s">
        <v>181</v>
      </c>
      <c r="I743" t="s">
        <v>35</v>
      </c>
      <c r="J743" t="s">
        <v>108</v>
      </c>
      <c r="K743">
        <v>1</v>
      </c>
      <c r="L743">
        <v>699</v>
      </c>
      <c r="M743" s="3">
        <v>0</v>
      </c>
      <c r="N743">
        <v>699</v>
      </c>
      <c r="O743">
        <v>380</v>
      </c>
      <c r="P743">
        <v>319</v>
      </c>
      <c r="Q743" t="s">
        <v>66</v>
      </c>
      <c r="R743" t="s">
        <v>28</v>
      </c>
      <c r="S743">
        <v>3</v>
      </c>
    </row>
    <row r="744" spans="1:19">
      <c r="A744" t="s">
        <v>1088</v>
      </c>
      <c r="B744" s="2">
        <v>45770</v>
      </c>
      <c r="C744" t="s">
        <v>475</v>
      </c>
      <c r="D744" t="s">
        <v>476</v>
      </c>
      <c r="E744" t="s">
        <v>32</v>
      </c>
      <c r="F744">
        <v>51</v>
      </c>
      <c r="G744" t="s">
        <v>141</v>
      </c>
      <c r="H744" t="s">
        <v>142</v>
      </c>
      <c r="I744" t="s">
        <v>43</v>
      </c>
      <c r="J744" t="s">
        <v>49</v>
      </c>
      <c r="K744">
        <v>3</v>
      </c>
      <c r="L744">
        <v>799</v>
      </c>
      <c r="M744" s="3">
        <v>0.05</v>
      </c>
      <c r="N744">
        <v>2277.15</v>
      </c>
      <c r="O744">
        <v>1350</v>
      </c>
      <c r="P744">
        <v>927.15</v>
      </c>
      <c r="Q744" t="s">
        <v>37</v>
      </c>
      <c r="R744" t="s">
        <v>28</v>
      </c>
      <c r="S744">
        <v>2</v>
      </c>
    </row>
    <row r="745" spans="1:19">
      <c r="A745" t="s">
        <v>1089</v>
      </c>
      <c r="B745" s="2">
        <v>45733</v>
      </c>
      <c r="C745" t="s">
        <v>270</v>
      </c>
      <c r="D745" t="s">
        <v>271</v>
      </c>
      <c r="E745" t="s">
        <v>22</v>
      </c>
      <c r="F745">
        <v>51</v>
      </c>
      <c r="G745" t="s">
        <v>48</v>
      </c>
      <c r="H745" t="s">
        <v>42</v>
      </c>
      <c r="I745" t="s">
        <v>43</v>
      </c>
      <c r="J745" t="s">
        <v>49</v>
      </c>
      <c r="K745">
        <v>4</v>
      </c>
      <c r="L745">
        <v>799</v>
      </c>
      <c r="M745" s="3">
        <v>0.05</v>
      </c>
      <c r="N745">
        <v>3036.2</v>
      </c>
      <c r="O745">
        <v>1800</v>
      </c>
      <c r="P745">
        <v>1236.2</v>
      </c>
      <c r="Q745" t="s">
        <v>66</v>
      </c>
      <c r="R745" t="s">
        <v>28</v>
      </c>
      <c r="S745">
        <v>1</v>
      </c>
    </row>
    <row r="746" spans="1:19">
      <c r="A746" t="s">
        <v>1090</v>
      </c>
      <c r="B746" s="2">
        <v>46123</v>
      </c>
      <c r="C746" t="s">
        <v>1024</v>
      </c>
      <c r="D746" t="s">
        <v>1025</v>
      </c>
      <c r="E746" t="s">
        <v>22</v>
      </c>
      <c r="F746">
        <v>35</v>
      </c>
      <c r="G746" t="s">
        <v>93</v>
      </c>
      <c r="H746" t="s">
        <v>94</v>
      </c>
      <c r="I746" t="s">
        <v>25</v>
      </c>
      <c r="J746" t="s">
        <v>62</v>
      </c>
      <c r="K746">
        <v>2</v>
      </c>
      <c r="L746">
        <v>1299</v>
      </c>
      <c r="M746" s="3">
        <v>0.2</v>
      </c>
      <c r="N746">
        <v>2078.4</v>
      </c>
      <c r="O746">
        <v>1600</v>
      </c>
      <c r="P746">
        <v>478.4</v>
      </c>
      <c r="Q746" t="s">
        <v>27</v>
      </c>
      <c r="R746" t="s">
        <v>28</v>
      </c>
      <c r="S746">
        <v>2</v>
      </c>
    </row>
    <row r="747" spans="1:19">
      <c r="A747" t="s">
        <v>1091</v>
      </c>
      <c r="B747" s="2">
        <v>45934</v>
      </c>
      <c r="C747" t="s">
        <v>195</v>
      </c>
      <c r="D747" t="s">
        <v>196</v>
      </c>
      <c r="E747" t="s">
        <v>22</v>
      </c>
      <c r="F747">
        <v>54</v>
      </c>
      <c r="G747" t="s">
        <v>73</v>
      </c>
      <c r="H747" t="s">
        <v>74</v>
      </c>
      <c r="I747" t="s">
        <v>117</v>
      </c>
      <c r="J747" t="s">
        <v>152</v>
      </c>
      <c r="K747">
        <v>2</v>
      </c>
      <c r="L747">
        <v>899</v>
      </c>
      <c r="M747" s="3">
        <v>0.1</v>
      </c>
      <c r="N747">
        <v>1618.2</v>
      </c>
      <c r="O747">
        <v>1000</v>
      </c>
      <c r="P747">
        <v>618.20000000000005</v>
      </c>
      <c r="Q747" t="s">
        <v>27</v>
      </c>
      <c r="R747" t="s">
        <v>28</v>
      </c>
      <c r="S747">
        <v>1</v>
      </c>
    </row>
    <row r="748" spans="1:19">
      <c r="A748" t="s">
        <v>1092</v>
      </c>
      <c r="B748" s="2">
        <v>45771</v>
      </c>
      <c r="C748" t="s">
        <v>292</v>
      </c>
      <c r="D748" t="s">
        <v>293</v>
      </c>
      <c r="E748" t="s">
        <v>32</v>
      </c>
      <c r="F748">
        <v>29</v>
      </c>
      <c r="G748" t="s">
        <v>180</v>
      </c>
      <c r="H748" t="s">
        <v>181</v>
      </c>
      <c r="I748" t="s">
        <v>25</v>
      </c>
      <c r="J748" t="s">
        <v>68</v>
      </c>
      <c r="K748">
        <v>3</v>
      </c>
      <c r="L748">
        <v>2999</v>
      </c>
      <c r="M748" s="3">
        <v>0.05</v>
      </c>
      <c r="N748">
        <v>8547.15</v>
      </c>
      <c r="O748">
        <v>5700</v>
      </c>
      <c r="P748">
        <v>2847.15</v>
      </c>
      <c r="Q748" t="s">
        <v>66</v>
      </c>
      <c r="R748" t="s">
        <v>28</v>
      </c>
      <c r="S748">
        <v>2</v>
      </c>
    </row>
    <row r="749" spans="1:19">
      <c r="A749" t="s">
        <v>1093</v>
      </c>
      <c r="B749" s="2">
        <v>45818</v>
      </c>
      <c r="C749" t="s">
        <v>1039</v>
      </c>
      <c r="D749" t="s">
        <v>333</v>
      </c>
      <c r="E749" t="s">
        <v>22</v>
      </c>
      <c r="F749">
        <v>45</v>
      </c>
      <c r="G749" t="s">
        <v>146</v>
      </c>
      <c r="H749" t="s">
        <v>61</v>
      </c>
      <c r="I749" t="s">
        <v>43</v>
      </c>
      <c r="J749" t="s">
        <v>281</v>
      </c>
      <c r="K749">
        <v>3</v>
      </c>
      <c r="L749">
        <v>2999</v>
      </c>
      <c r="M749" s="3">
        <v>0.2</v>
      </c>
      <c r="N749">
        <v>7197.6</v>
      </c>
      <c r="O749">
        <v>5400</v>
      </c>
      <c r="P749">
        <v>1797.6</v>
      </c>
      <c r="Q749" t="s">
        <v>50</v>
      </c>
      <c r="R749" t="s">
        <v>77</v>
      </c>
      <c r="S749">
        <v>2</v>
      </c>
    </row>
    <row r="750" spans="1:19">
      <c r="A750" t="s">
        <v>1094</v>
      </c>
      <c r="B750" s="2">
        <v>46263</v>
      </c>
      <c r="C750" t="s">
        <v>692</v>
      </c>
      <c r="D750" t="s">
        <v>343</v>
      </c>
      <c r="E750" t="s">
        <v>22</v>
      </c>
      <c r="F750">
        <v>50</v>
      </c>
      <c r="G750" t="s">
        <v>48</v>
      </c>
      <c r="H750" t="s">
        <v>42</v>
      </c>
      <c r="I750" t="s">
        <v>163</v>
      </c>
      <c r="J750" t="s">
        <v>234</v>
      </c>
      <c r="K750">
        <v>4</v>
      </c>
      <c r="L750">
        <v>999</v>
      </c>
      <c r="M750" s="3">
        <v>0.05</v>
      </c>
      <c r="N750">
        <v>3796.2</v>
      </c>
      <c r="O750">
        <v>2400</v>
      </c>
      <c r="P750">
        <v>1396.2</v>
      </c>
      <c r="Q750" t="s">
        <v>66</v>
      </c>
      <c r="R750" t="s">
        <v>137</v>
      </c>
      <c r="S750">
        <v>3</v>
      </c>
    </row>
    <row r="751" spans="1:19">
      <c r="A751" t="s">
        <v>1095</v>
      </c>
      <c r="B751" s="2">
        <v>45911</v>
      </c>
      <c r="C751" t="s">
        <v>172</v>
      </c>
      <c r="D751" t="s">
        <v>173</v>
      </c>
      <c r="E751" t="s">
        <v>22</v>
      </c>
      <c r="F751">
        <v>50</v>
      </c>
      <c r="G751" t="s">
        <v>48</v>
      </c>
      <c r="H751" t="s">
        <v>42</v>
      </c>
      <c r="I751" t="s">
        <v>117</v>
      </c>
      <c r="J751" t="s">
        <v>152</v>
      </c>
      <c r="K751">
        <v>4</v>
      </c>
      <c r="L751">
        <v>899</v>
      </c>
      <c r="M751" s="3">
        <v>0.05</v>
      </c>
      <c r="N751">
        <v>3416.2</v>
      </c>
      <c r="O751">
        <v>2000</v>
      </c>
      <c r="P751">
        <v>1416.2</v>
      </c>
      <c r="Q751" t="s">
        <v>37</v>
      </c>
      <c r="R751" t="s">
        <v>28</v>
      </c>
      <c r="S751">
        <v>2</v>
      </c>
    </row>
    <row r="752" spans="1:19">
      <c r="A752" t="s">
        <v>1096</v>
      </c>
      <c r="B752" s="2">
        <v>45703</v>
      </c>
      <c r="C752" t="s">
        <v>158</v>
      </c>
      <c r="D752" t="s">
        <v>159</v>
      </c>
      <c r="E752" t="s">
        <v>32</v>
      </c>
      <c r="F752">
        <v>19</v>
      </c>
      <c r="G752" t="s">
        <v>60</v>
      </c>
      <c r="H752" t="s">
        <v>61</v>
      </c>
      <c r="I752" t="s">
        <v>75</v>
      </c>
      <c r="J752" t="s">
        <v>86</v>
      </c>
      <c r="K752">
        <v>1</v>
      </c>
      <c r="L752">
        <v>499</v>
      </c>
      <c r="M752" s="3">
        <v>0.15</v>
      </c>
      <c r="N752">
        <v>424.15</v>
      </c>
      <c r="O752">
        <v>300</v>
      </c>
      <c r="P752">
        <v>124.15</v>
      </c>
      <c r="Q752" t="s">
        <v>69</v>
      </c>
      <c r="R752" t="s">
        <v>51</v>
      </c>
      <c r="S752">
        <v>5</v>
      </c>
    </row>
    <row r="753" spans="1:19">
      <c r="A753" t="s">
        <v>1097</v>
      </c>
      <c r="B753" s="2">
        <v>45758</v>
      </c>
      <c r="C753" t="s">
        <v>236</v>
      </c>
      <c r="D753" t="s">
        <v>237</v>
      </c>
      <c r="E753" t="s">
        <v>32</v>
      </c>
      <c r="F753">
        <v>34</v>
      </c>
      <c r="G753" t="s">
        <v>180</v>
      </c>
      <c r="H753" t="s">
        <v>181</v>
      </c>
      <c r="I753" t="s">
        <v>163</v>
      </c>
      <c r="J753" t="s">
        <v>234</v>
      </c>
      <c r="K753">
        <v>4</v>
      </c>
      <c r="L753">
        <v>999</v>
      </c>
      <c r="M753" s="3">
        <v>0.15</v>
      </c>
      <c r="N753">
        <v>3396.6</v>
      </c>
      <c r="O753">
        <v>2400</v>
      </c>
      <c r="P753">
        <v>996.6</v>
      </c>
      <c r="Q753" t="s">
        <v>66</v>
      </c>
      <c r="R753" t="s">
        <v>28</v>
      </c>
      <c r="S753">
        <v>1</v>
      </c>
    </row>
    <row r="754" spans="1:19">
      <c r="A754" t="s">
        <v>1098</v>
      </c>
      <c r="B754" s="2">
        <v>45793</v>
      </c>
      <c r="C754" t="s">
        <v>427</v>
      </c>
      <c r="D754" t="s">
        <v>248</v>
      </c>
      <c r="E754" t="s">
        <v>32</v>
      </c>
      <c r="F754">
        <v>33</v>
      </c>
      <c r="G754" t="s">
        <v>41</v>
      </c>
      <c r="H754" t="s">
        <v>42</v>
      </c>
      <c r="I754" t="s">
        <v>25</v>
      </c>
      <c r="J754" t="s">
        <v>156</v>
      </c>
      <c r="K754">
        <v>4</v>
      </c>
      <c r="L754">
        <v>1999</v>
      </c>
      <c r="M754" s="3">
        <v>0.05</v>
      </c>
      <c r="N754">
        <v>7596.2</v>
      </c>
      <c r="O754">
        <v>5200</v>
      </c>
      <c r="P754">
        <v>2396.1999999999998</v>
      </c>
      <c r="Q754" t="s">
        <v>37</v>
      </c>
      <c r="R754" t="s">
        <v>28</v>
      </c>
      <c r="S754">
        <v>1</v>
      </c>
    </row>
    <row r="755" spans="1:19">
      <c r="A755" t="s">
        <v>1099</v>
      </c>
      <c r="B755" s="2">
        <v>46128</v>
      </c>
      <c r="C755" t="s">
        <v>20</v>
      </c>
      <c r="D755" t="s">
        <v>21</v>
      </c>
      <c r="E755" t="s">
        <v>22</v>
      </c>
      <c r="F755">
        <v>52</v>
      </c>
      <c r="G755" t="s">
        <v>23</v>
      </c>
      <c r="H755" t="s">
        <v>24</v>
      </c>
      <c r="I755" t="s">
        <v>35</v>
      </c>
      <c r="J755" t="s">
        <v>36</v>
      </c>
      <c r="K755">
        <v>3</v>
      </c>
      <c r="L755">
        <v>599</v>
      </c>
      <c r="M755" s="3">
        <v>0.05</v>
      </c>
      <c r="N755">
        <v>1707.15</v>
      </c>
      <c r="O755">
        <v>960</v>
      </c>
      <c r="P755">
        <v>747.15</v>
      </c>
      <c r="Q755" t="s">
        <v>50</v>
      </c>
      <c r="R755" t="s">
        <v>28</v>
      </c>
      <c r="S755">
        <v>1</v>
      </c>
    </row>
    <row r="756" spans="1:19">
      <c r="A756" t="s">
        <v>1100</v>
      </c>
      <c r="B756" s="2">
        <v>45847</v>
      </c>
      <c r="C756" t="s">
        <v>161</v>
      </c>
      <c r="D756" t="s">
        <v>162</v>
      </c>
      <c r="E756" t="s">
        <v>22</v>
      </c>
      <c r="F756">
        <v>44</v>
      </c>
      <c r="G756" t="s">
        <v>146</v>
      </c>
      <c r="H756" t="s">
        <v>61</v>
      </c>
      <c r="I756" t="s">
        <v>35</v>
      </c>
      <c r="J756" t="s">
        <v>136</v>
      </c>
      <c r="K756">
        <v>2</v>
      </c>
      <c r="L756">
        <v>799</v>
      </c>
      <c r="M756" s="3">
        <v>0.15</v>
      </c>
      <c r="N756">
        <v>1358.3</v>
      </c>
      <c r="O756">
        <v>900</v>
      </c>
      <c r="P756">
        <v>458.3</v>
      </c>
      <c r="Q756" t="s">
        <v>37</v>
      </c>
      <c r="R756" t="s">
        <v>28</v>
      </c>
      <c r="S756">
        <v>1</v>
      </c>
    </row>
    <row r="757" spans="1:19">
      <c r="A757" t="s">
        <v>1101</v>
      </c>
      <c r="B757" s="2">
        <v>45691</v>
      </c>
      <c r="C757" t="s">
        <v>261</v>
      </c>
      <c r="D757" t="s">
        <v>262</v>
      </c>
      <c r="E757" t="s">
        <v>22</v>
      </c>
      <c r="F757">
        <v>54</v>
      </c>
      <c r="G757" t="s">
        <v>60</v>
      </c>
      <c r="H757" t="s">
        <v>61</v>
      </c>
      <c r="I757" t="s">
        <v>163</v>
      </c>
      <c r="J757" t="s">
        <v>290</v>
      </c>
      <c r="K757">
        <v>3</v>
      </c>
      <c r="L757">
        <v>1999</v>
      </c>
      <c r="M757" s="3">
        <v>0.2</v>
      </c>
      <c r="N757">
        <v>4797.6000000000004</v>
      </c>
      <c r="O757">
        <v>3600</v>
      </c>
      <c r="P757">
        <v>1197.5999999999999</v>
      </c>
      <c r="Q757" t="s">
        <v>37</v>
      </c>
      <c r="R757" t="s">
        <v>28</v>
      </c>
      <c r="S757">
        <v>3</v>
      </c>
    </row>
    <row r="758" spans="1:19">
      <c r="A758" t="s">
        <v>1102</v>
      </c>
      <c r="B758" s="2">
        <v>46001</v>
      </c>
      <c r="C758" t="s">
        <v>233</v>
      </c>
      <c r="D758" t="s">
        <v>213</v>
      </c>
      <c r="E758" t="s">
        <v>32</v>
      </c>
      <c r="F758">
        <v>18</v>
      </c>
      <c r="G758" t="s">
        <v>93</v>
      </c>
      <c r="H758" t="s">
        <v>94</v>
      </c>
      <c r="I758" t="s">
        <v>75</v>
      </c>
      <c r="J758" t="s">
        <v>86</v>
      </c>
      <c r="K758">
        <v>2</v>
      </c>
      <c r="L758">
        <v>499</v>
      </c>
      <c r="M758" s="3">
        <v>0</v>
      </c>
      <c r="N758">
        <v>998</v>
      </c>
      <c r="O758">
        <v>600</v>
      </c>
      <c r="P758">
        <v>398</v>
      </c>
      <c r="Q758" t="s">
        <v>69</v>
      </c>
      <c r="R758" t="s">
        <v>28</v>
      </c>
      <c r="S758">
        <v>3</v>
      </c>
    </row>
    <row r="759" spans="1:19">
      <c r="A759" t="s">
        <v>1103</v>
      </c>
      <c r="B759" s="2">
        <v>46134</v>
      </c>
      <c r="C759" t="s">
        <v>332</v>
      </c>
      <c r="D759" t="s">
        <v>333</v>
      </c>
      <c r="E759" t="s">
        <v>32</v>
      </c>
      <c r="F759">
        <v>28</v>
      </c>
      <c r="G759" t="s">
        <v>93</v>
      </c>
      <c r="H759" t="s">
        <v>94</v>
      </c>
      <c r="I759" t="s">
        <v>25</v>
      </c>
      <c r="J759" t="s">
        <v>56</v>
      </c>
      <c r="K759">
        <v>4</v>
      </c>
      <c r="L759">
        <v>899</v>
      </c>
      <c r="M759" s="3">
        <v>0.1</v>
      </c>
      <c r="N759">
        <v>3236.4</v>
      </c>
      <c r="O759">
        <v>2200</v>
      </c>
      <c r="P759">
        <v>1036.4000000000001</v>
      </c>
      <c r="Q759" t="s">
        <v>50</v>
      </c>
      <c r="R759" t="s">
        <v>28</v>
      </c>
      <c r="S759">
        <v>3</v>
      </c>
    </row>
    <row r="760" spans="1:19">
      <c r="A760" t="s">
        <v>1104</v>
      </c>
      <c r="B760" s="2">
        <v>45867</v>
      </c>
      <c r="C760" t="s">
        <v>458</v>
      </c>
      <c r="D760" t="s">
        <v>459</v>
      </c>
      <c r="E760" t="s">
        <v>32</v>
      </c>
      <c r="F760">
        <v>40</v>
      </c>
      <c r="G760" t="s">
        <v>60</v>
      </c>
      <c r="H760" t="s">
        <v>61</v>
      </c>
      <c r="I760" t="s">
        <v>75</v>
      </c>
      <c r="J760" t="s">
        <v>76</v>
      </c>
      <c r="K760">
        <v>1</v>
      </c>
      <c r="L760">
        <v>399</v>
      </c>
      <c r="M760" s="3">
        <v>0.2</v>
      </c>
      <c r="N760">
        <v>319.2</v>
      </c>
      <c r="O760">
        <v>220</v>
      </c>
      <c r="P760">
        <v>99.2</v>
      </c>
      <c r="Q760" t="s">
        <v>27</v>
      </c>
      <c r="R760" t="s">
        <v>51</v>
      </c>
      <c r="S760">
        <v>2</v>
      </c>
    </row>
    <row r="761" spans="1:19">
      <c r="A761" t="s">
        <v>1105</v>
      </c>
      <c r="B761" s="2">
        <v>45872</v>
      </c>
      <c r="C761" t="s">
        <v>233</v>
      </c>
      <c r="D761" t="s">
        <v>213</v>
      </c>
      <c r="E761" t="s">
        <v>32</v>
      </c>
      <c r="F761">
        <v>18</v>
      </c>
      <c r="G761" t="s">
        <v>93</v>
      </c>
      <c r="H761" t="s">
        <v>94</v>
      </c>
      <c r="I761" t="s">
        <v>25</v>
      </c>
      <c r="J761" t="s">
        <v>56</v>
      </c>
      <c r="K761">
        <v>4</v>
      </c>
      <c r="L761">
        <v>899</v>
      </c>
      <c r="M761" s="3">
        <v>0.2</v>
      </c>
      <c r="N761">
        <v>2876.8</v>
      </c>
      <c r="O761">
        <v>2200</v>
      </c>
      <c r="P761">
        <v>676.8</v>
      </c>
      <c r="Q761" t="s">
        <v>27</v>
      </c>
      <c r="R761" t="s">
        <v>28</v>
      </c>
      <c r="S761">
        <v>3</v>
      </c>
    </row>
    <row r="762" spans="1:19">
      <c r="A762" t="s">
        <v>1106</v>
      </c>
      <c r="B762" s="2">
        <v>45713</v>
      </c>
      <c r="C762" t="s">
        <v>304</v>
      </c>
      <c r="D762" t="s">
        <v>305</v>
      </c>
      <c r="E762" t="s">
        <v>32</v>
      </c>
      <c r="F762">
        <v>32</v>
      </c>
      <c r="G762" t="s">
        <v>146</v>
      </c>
      <c r="H762" t="s">
        <v>61</v>
      </c>
      <c r="I762" t="s">
        <v>117</v>
      </c>
      <c r="J762" t="s">
        <v>118</v>
      </c>
      <c r="K762">
        <v>4</v>
      </c>
      <c r="L762">
        <v>999</v>
      </c>
      <c r="M762" s="3">
        <v>0.1</v>
      </c>
      <c r="N762">
        <v>3596.4</v>
      </c>
      <c r="O762">
        <v>2200</v>
      </c>
      <c r="P762">
        <v>1396.4</v>
      </c>
      <c r="Q762" t="s">
        <v>69</v>
      </c>
      <c r="R762" t="s">
        <v>28</v>
      </c>
      <c r="S762">
        <v>4</v>
      </c>
    </row>
    <row r="763" spans="1:19">
      <c r="A763" t="s">
        <v>1107</v>
      </c>
      <c r="B763" s="2">
        <v>46202</v>
      </c>
      <c r="C763" t="s">
        <v>178</v>
      </c>
      <c r="D763" t="s">
        <v>179</v>
      </c>
      <c r="E763" t="s">
        <v>32</v>
      </c>
      <c r="F763">
        <v>29</v>
      </c>
      <c r="G763" t="s">
        <v>180</v>
      </c>
      <c r="H763" t="s">
        <v>181</v>
      </c>
      <c r="I763" t="s">
        <v>35</v>
      </c>
      <c r="J763" t="s">
        <v>108</v>
      </c>
      <c r="K763">
        <v>1</v>
      </c>
      <c r="L763">
        <v>699</v>
      </c>
      <c r="M763" s="3">
        <v>0.15</v>
      </c>
      <c r="N763">
        <v>594.15</v>
      </c>
      <c r="O763">
        <v>380</v>
      </c>
      <c r="P763">
        <v>214.15</v>
      </c>
      <c r="Q763" t="s">
        <v>50</v>
      </c>
      <c r="R763" t="s">
        <v>77</v>
      </c>
      <c r="S763">
        <v>4</v>
      </c>
    </row>
    <row r="764" spans="1:19">
      <c r="A764" t="s">
        <v>1108</v>
      </c>
      <c r="B764" s="2">
        <v>46126</v>
      </c>
      <c r="C764" t="s">
        <v>30</v>
      </c>
      <c r="D764" t="s">
        <v>31</v>
      </c>
      <c r="E764" t="s">
        <v>32</v>
      </c>
      <c r="F764">
        <v>29</v>
      </c>
      <c r="G764" t="s">
        <v>33</v>
      </c>
      <c r="H764" t="s">
        <v>34</v>
      </c>
      <c r="I764" t="s">
        <v>117</v>
      </c>
      <c r="J764" t="s">
        <v>118</v>
      </c>
      <c r="K764">
        <v>1</v>
      </c>
      <c r="L764">
        <v>999</v>
      </c>
      <c r="M764" s="3">
        <v>0.05</v>
      </c>
      <c r="N764">
        <v>949.05</v>
      </c>
      <c r="O764">
        <v>550</v>
      </c>
      <c r="P764">
        <v>399.05</v>
      </c>
      <c r="Q764" t="s">
        <v>69</v>
      </c>
      <c r="R764" t="s">
        <v>28</v>
      </c>
      <c r="S764">
        <v>2</v>
      </c>
    </row>
    <row r="765" spans="1:19">
      <c r="A765" t="s">
        <v>1109</v>
      </c>
      <c r="B765" s="2">
        <v>45940</v>
      </c>
      <c r="C765" t="s">
        <v>134</v>
      </c>
      <c r="D765" t="s">
        <v>135</v>
      </c>
      <c r="E765" t="s">
        <v>32</v>
      </c>
      <c r="F765">
        <v>53</v>
      </c>
      <c r="G765" t="s">
        <v>23</v>
      </c>
      <c r="H765" t="s">
        <v>24</v>
      </c>
      <c r="I765" t="s">
        <v>25</v>
      </c>
      <c r="J765" t="s">
        <v>26</v>
      </c>
      <c r="K765">
        <v>1</v>
      </c>
      <c r="L765">
        <v>2499</v>
      </c>
      <c r="M765" s="3">
        <v>0.05</v>
      </c>
      <c r="N765">
        <v>2374.0500000000002</v>
      </c>
      <c r="O765">
        <v>1600</v>
      </c>
      <c r="P765">
        <v>774.05</v>
      </c>
      <c r="Q765" t="s">
        <v>69</v>
      </c>
      <c r="R765" t="s">
        <v>28</v>
      </c>
      <c r="S765">
        <v>4</v>
      </c>
    </row>
    <row r="766" spans="1:19">
      <c r="A766" t="s">
        <v>1110</v>
      </c>
      <c r="B766" s="2">
        <v>46084</v>
      </c>
      <c r="C766" t="s">
        <v>158</v>
      </c>
      <c r="D766" t="s">
        <v>159</v>
      </c>
      <c r="E766" t="s">
        <v>32</v>
      </c>
      <c r="F766">
        <v>19</v>
      </c>
      <c r="G766" t="s">
        <v>60</v>
      </c>
      <c r="H766" t="s">
        <v>61</v>
      </c>
      <c r="I766" t="s">
        <v>43</v>
      </c>
      <c r="J766" t="s">
        <v>49</v>
      </c>
      <c r="K766">
        <v>1</v>
      </c>
      <c r="L766">
        <v>799</v>
      </c>
      <c r="M766" s="3">
        <v>0.1</v>
      </c>
      <c r="N766">
        <v>719.1</v>
      </c>
      <c r="O766">
        <v>450</v>
      </c>
      <c r="P766">
        <v>269.10000000000002</v>
      </c>
      <c r="Q766" t="s">
        <v>50</v>
      </c>
      <c r="R766" t="s">
        <v>77</v>
      </c>
      <c r="S766">
        <v>4</v>
      </c>
    </row>
    <row r="767" spans="1:19">
      <c r="A767" t="s">
        <v>1111</v>
      </c>
      <c r="B767" s="2">
        <v>45956</v>
      </c>
      <c r="C767" t="s">
        <v>199</v>
      </c>
      <c r="D767" t="s">
        <v>200</v>
      </c>
      <c r="E767" t="s">
        <v>22</v>
      </c>
      <c r="F767">
        <v>42</v>
      </c>
      <c r="G767" t="s">
        <v>33</v>
      </c>
      <c r="H767" t="s">
        <v>34</v>
      </c>
      <c r="I767" t="s">
        <v>163</v>
      </c>
      <c r="J767" t="s">
        <v>234</v>
      </c>
      <c r="K767">
        <v>4</v>
      </c>
      <c r="L767">
        <v>999</v>
      </c>
      <c r="M767" s="3">
        <v>0</v>
      </c>
      <c r="N767">
        <v>3996</v>
      </c>
      <c r="O767">
        <v>2400</v>
      </c>
      <c r="P767">
        <v>1596</v>
      </c>
      <c r="Q767" t="s">
        <v>27</v>
      </c>
      <c r="R767" t="s">
        <v>28</v>
      </c>
      <c r="S767">
        <v>2</v>
      </c>
    </row>
    <row r="768" spans="1:19">
      <c r="A768" t="s">
        <v>1112</v>
      </c>
      <c r="B768" s="2">
        <v>46250</v>
      </c>
      <c r="C768" t="s">
        <v>329</v>
      </c>
      <c r="D768" t="s">
        <v>330</v>
      </c>
      <c r="E768" t="s">
        <v>22</v>
      </c>
      <c r="F768">
        <v>28</v>
      </c>
      <c r="G768" t="s">
        <v>81</v>
      </c>
      <c r="H768" t="s">
        <v>82</v>
      </c>
      <c r="I768" t="s">
        <v>75</v>
      </c>
      <c r="J768" t="s">
        <v>76</v>
      </c>
      <c r="K768">
        <v>3</v>
      </c>
      <c r="L768">
        <v>399</v>
      </c>
      <c r="M768" s="3">
        <v>0.15</v>
      </c>
      <c r="N768">
        <v>1017.45</v>
      </c>
      <c r="O768">
        <v>660</v>
      </c>
      <c r="P768">
        <v>357.45</v>
      </c>
      <c r="Q768" t="s">
        <v>37</v>
      </c>
      <c r="R768" t="s">
        <v>28</v>
      </c>
      <c r="S768">
        <v>3</v>
      </c>
    </row>
    <row r="769" spans="1:19">
      <c r="A769" t="s">
        <v>1113</v>
      </c>
      <c r="B769" s="2">
        <v>45969</v>
      </c>
      <c r="C769" t="s">
        <v>178</v>
      </c>
      <c r="D769" t="s">
        <v>179</v>
      </c>
      <c r="E769" t="s">
        <v>32</v>
      </c>
      <c r="F769">
        <v>29</v>
      </c>
      <c r="G769" t="s">
        <v>180</v>
      </c>
      <c r="H769" t="s">
        <v>181</v>
      </c>
      <c r="I769" t="s">
        <v>75</v>
      </c>
      <c r="J769" t="s">
        <v>86</v>
      </c>
      <c r="K769">
        <v>4</v>
      </c>
      <c r="L769">
        <v>499</v>
      </c>
      <c r="M769" s="3">
        <v>0.15</v>
      </c>
      <c r="N769">
        <v>1696.6</v>
      </c>
      <c r="O769">
        <v>1200</v>
      </c>
      <c r="P769">
        <v>496.6</v>
      </c>
      <c r="Q769" t="s">
        <v>50</v>
      </c>
      <c r="R769" t="s">
        <v>28</v>
      </c>
      <c r="S769">
        <v>3</v>
      </c>
    </row>
    <row r="770" spans="1:19">
      <c r="A770" t="s">
        <v>1114</v>
      </c>
      <c r="B770" s="2">
        <v>46038</v>
      </c>
      <c r="C770" t="s">
        <v>407</v>
      </c>
      <c r="D770" t="s">
        <v>408</v>
      </c>
      <c r="E770" t="s">
        <v>32</v>
      </c>
      <c r="F770">
        <v>44</v>
      </c>
      <c r="G770" t="s">
        <v>48</v>
      </c>
      <c r="H770" t="s">
        <v>42</v>
      </c>
      <c r="I770" t="s">
        <v>43</v>
      </c>
      <c r="J770" t="s">
        <v>197</v>
      </c>
      <c r="K770">
        <v>2</v>
      </c>
      <c r="L770">
        <v>1799</v>
      </c>
      <c r="M770" s="3">
        <v>0.15</v>
      </c>
      <c r="N770">
        <v>3058.3</v>
      </c>
      <c r="O770">
        <v>2100</v>
      </c>
      <c r="P770">
        <v>958.3</v>
      </c>
      <c r="Q770" t="s">
        <v>37</v>
      </c>
      <c r="R770" t="s">
        <v>28</v>
      </c>
      <c r="S770">
        <v>1</v>
      </c>
    </row>
    <row r="771" spans="1:19">
      <c r="A771" t="s">
        <v>1115</v>
      </c>
      <c r="B771" s="2">
        <v>45828</v>
      </c>
      <c r="C771" t="s">
        <v>354</v>
      </c>
      <c r="D771" t="s">
        <v>339</v>
      </c>
      <c r="E771" t="s">
        <v>32</v>
      </c>
      <c r="F771">
        <v>25</v>
      </c>
      <c r="G771" t="s">
        <v>115</v>
      </c>
      <c r="H771" t="s">
        <v>116</v>
      </c>
      <c r="I771" t="s">
        <v>163</v>
      </c>
      <c r="J771" t="s">
        <v>214</v>
      </c>
      <c r="K771">
        <v>3</v>
      </c>
      <c r="L771">
        <v>1499</v>
      </c>
      <c r="M771" s="3">
        <v>0.15</v>
      </c>
      <c r="N771">
        <v>3822.45</v>
      </c>
      <c r="O771">
        <v>2700</v>
      </c>
      <c r="P771">
        <v>1122.45</v>
      </c>
      <c r="Q771" t="s">
        <v>50</v>
      </c>
      <c r="R771" t="s">
        <v>77</v>
      </c>
      <c r="S771">
        <v>3</v>
      </c>
    </row>
    <row r="772" spans="1:19">
      <c r="A772" t="s">
        <v>1116</v>
      </c>
      <c r="B772" s="2">
        <v>45901</v>
      </c>
      <c r="C772" t="s">
        <v>338</v>
      </c>
      <c r="D772" t="s">
        <v>339</v>
      </c>
      <c r="E772" t="s">
        <v>32</v>
      </c>
      <c r="F772">
        <v>24</v>
      </c>
      <c r="G772" t="s">
        <v>73</v>
      </c>
      <c r="H772" t="s">
        <v>74</v>
      </c>
      <c r="I772" t="s">
        <v>43</v>
      </c>
      <c r="J772" t="s">
        <v>95</v>
      </c>
      <c r="K772">
        <v>2</v>
      </c>
      <c r="L772">
        <v>2499</v>
      </c>
      <c r="M772" s="3">
        <v>0.05</v>
      </c>
      <c r="N772">
        <v>4748.1000000000004</v>
      </c>
      <c r="O772">
        <v>3000</v>
      </c>
      <c r="P772">
        <v>1748.1</v>
      </c>
      <c r="Q772" t="s">
        <v>69</v>
      </c>
      <c r="R772" t="s">
        <v>28</v>
      </c>
      <c r="S772">
        <v>3</v>
      </c>
    </row>
    <row r="773" spans="1:19">
      <c r="A773" t="s">
        <v>1117</v>
      </c>
      <c r="B773" s="2">
        <v>46036</v>
      </c>
      <c r="C773" t="s">
        <v>71</v>
      </c>
      <c r="D773" t="s">
        <v>72</v>
      </c>
      <c r="E773" t="s">
        <v>32</v>
      </c>
      <c r="F773">
        <v>53</v>
      </c>
      <c r="G773" t="s">
        <v>73</v>
      </c>
      <c r="H773" t="s">
        <v>74</v>
      </c>
      <c r="I773" t="s">
        <v>25</v>
      </c>
      <c r="J773" t="s">
        <v>62</v>
      </c>
      <c r="K773">
        <v>4</v>
      </c>
      <c r="L773">
        <v>1299</v>
      </c>
      <c r="M773" s="3">
        <v>0.1</v>
      </c>
      <c r="N773">
        <v>4676.3999999999996</v>
      </c>
      <c r="O773">
        <v>3200</v>
      </c>
      <c r="P773">
        <v>1476.4</v>
      </c>
      <c r="Q773" t="s">
        <v>27</v>
      </c>
      <c r="R773" t="s">
        <v>28</v>
      </c>
      <c r="S773">
        <v>1</v>
      </c>
    </row>
    <row r="774" spans="1:19">
      <c r="A774" t="s">
        <v>1118</v>
      </c>
      <c r="B774" s="2">
        <v>46117</v>
      </c>
      <c r="C774" t="s">
        <v>357</v>
      </c>
      <c r="D774" t="s">
        <v>237</v>
      </c>
      <c r="E774" t="s">
        <v>22</v>
      </c>
      <c r="F774">
        <v>42</v>
      </c>
      <c r="G774" t="s">
        <v>251</v>
      </c>
      <c r="H774" t="s">
        <v>251</v>
      </c>
      <c r="I774" t="s">
        <v>163</v>
      </c>
      <c r="J774" t="s">
        <v>214</v>
      </c>
      <c r="K774">
        <v>2</v>
      </c>
      <c r="L774">
        <v>1499</v>
      </c>
      <c r="M774" s="3">
        <v>0.1</v>
      </c>
      <c r="N774">
        <v>2698.2</v>
      </c>
      <c r="O774">
        <v>1800</v>
      </c>
      <c r="P774">
        <v>898.2</v>
      </c>
      <c r="Q774" t="s">
        <v>50</v>
      </c>
      <c r="R774" t="s">
        <v>51</v>
      </c>
      <c r="S774">
        <v>5</v>
      </c>
    </row>
    <row r="775" spans="1:19">
      <c r="A775" t="s">
        <v>1119</v>
      </c>
      <c r="B775" s="2">
        <v>46169</v>
      </c>
      <c r="C775" t="s">
        <v>227</v>
      </c>
      <c r="D775" t="s">
        <v>228</v>
      </c>
      <c r="E775" t="s">
        <v>22</v>
      </c>
      <c r="F775">
        <v>24</v>
      </c>
      <c r="G775" t="s">
        <v>93</v>
      </c>
      <c r="H775" t="s">
        <v>94</v>
      </c>
      <c r="I775" t="s">
        <v>25</v>
      </c>
      <c r="J775" t="s">
        <v>56</v>
      </c>
      <c r="K775">
        <v>1</v>
      </c>
      <c r="L775">
        <v>899</v>
      </c>
      <c r="M775" s="3">
        <v>0.15</v>
      </c>
      <c r="N775">
        <v>764.15</v>
      </c>
      <c r="O775">
        <v>550</v>
      </c>
      <c r="P775">
        <v>214.15</v>
      </c>
      <c r="Q775" t="s">
        <v>27</v>
      </c>
      <c r="R775" t="s">
        <v>77</v>
      </c>
      <c r="S775">
        <v>3</v>
      </c>
    </row>
    <row r="776" spans="1:19">
      <c r="A776" t="s">
        <v>1120</v>
      </c>
      <c r="B776" s="2">
        <v>46143</v>
      </c>
      <c r="C776" t="s">
        <v>315</v>
      </c>
      <c r="D776" t="s">
        <v>305</v>
      </c>
      <c r="E776" t="s">
        <v>22</v>
      </c>
      <c r="F776">
        <v>18</v>
      </c>
      <c r="G776" t="s">
        <v>48</v>
      </c>
      <c r="H776" t="s">
        <v>42</v>
      </c>
      <c r="I776" t="s">
        <v>25</v>
      </c>
      <c r="J776" t="s">
        <v>156</v>
      </c>
      <c r="K776">
        <v>3</v>
      </c>
      <c r="L776">
        <v>1999</v>
      </c>
      <c r="M776" s="3">
        <v>0.1</v>
      </c>
      <c r="N776">
        <v>5397.3</v>
      </c>
      <c r="O776">
        <v>3900</v>
      </c>
      <c r="P776">
        <v>1497.3</v>
      </c>
      <c r="Q776" t="s">
        <v>37</v>
      </c>
      <c r="R776" t="s">
        <v>51</v>
      </c>
      <c r="S776">
        <v>5</v>
      </c>
    </row>
    <row r="777" spans="1:19">
      <c r="A777" t="s">
        <v>1121</v>
      </c>
      <c r="B777" s="2">
        <v>45773</v>
      </c>
      <c r="C777" t="s">
        <v>354</v>
      </c>
      <c r="D777" t="s">
        <v>339</v>
      </c>
      <c r="E777" t="s">
        <v>32</v>
      </c>
      <c r="F777">
        <v>25</v>
      </c>
      <c r="G777" t="s">
        <v>115</v>
      </c>
      <c r="H777" t="s">
        <v>116</v>
      </c>
      <c r="I777" t="s">
        <v>75</v>
      </c>
      <c r="J777" t="s">
        <v>86</v>
      </c>
      <c r="K777">
        <v>4</v>
      </c>
      <c r="L777">
        <v>499</v>
      </c>
      <c r="M777" s="3">
        <v>0.1</v>
      </c>
      <c r="N777">
        <v>1796.4</v>
      </c>
      <c r="O777">
        <v>1200</v>
      </c>
      <c r="P777">
        <v>596.4</v>
      </c>
      <c r="Q777" t="s">
        <v>66</v>
      </c>
      <c r="R777" t="s">
        <v>77</v>
      </c>
      <c r="S777">
        <v>2</v>
      </c>
    </row>
    <row r="778" spans="1:19">
      <c r="A778" t="s">
        <v>1122</v>
      </c>
      <c r="B778" s="2">
        <v>46069</v>
      </c>
      <c r="C778" t="s">
        <v>705</v>
      </c>
      <c r="D778" t="s">
        <v>98</v>
      </c>
      <c r="E778" t="s">
        <v>32</v>
      </c>
      <c r="F778">
        <v>47</v>
      </c>
      <c r="G778" t="s">
        <v>141</v>
      </c>
      <c r="H778" t="s">
        <v>142</v>
      </c>
      <c r="I778" t="s">
        <v>25</v>
      </c>
      <c r="J778" t="s">
        <v>56</v>
      </c>
      <c r="K778">
        <v>3</v>
      </c>
      <c r="L778">
        <v>899</v>
      </c>
      <c r="M778" s="3">
        <v>0</v>
      </c>
      <c r="N778">
        <v>2697</v>
      </c>
      <c r="O778">
        <v>1650</v>
      </c>
      <c r="P778">
        <v>1047</v>
      </c>
      <c r="Q778" t="s">
        <v>50</v>
      </c>
      <c r="R778" t="s">
        <v>137</v>
      </c>
      <c r="S778">
        <v>4</v>
      </c>
    </row>
    <row r="779" spans="1:19">
      <c r="A779" t="s">
        <v>1123</v>
      </c>
      <c r="B779" s="2">
        <v>45857</v>
      </c>
      <c r="C779" t="s">
        <v>653</v>
      </c>
      <c r="D779" t="s">
        <v>255</v>
      </c>
      <c r="E779" t="s">
        <v>32</v>
      </c>
      <c r="F779">
        <v>38</v>
      </c>
      <c r="G779" t="s">
        <v>93</v>
      </c>
      <c r="H779" t="s">
        <v>94</v>
      </c>
      <c r="I779" t="s">
        <v>25</v>
      </c>
      <c r="J779" t="s">
        <v>26</v>
      </c>
      <c r="K779">
        <v>3</v>
      </c>
      <c r="L779">
        <v>2499</v>
      </c>
      <c r="M779" s="3">
        <v>0</v>
      </c>
      <c r="N779">
        <v>7497</v>
      </c>
      <c r="O779">
        <v>4800</v>
      </c>
      <c r="P779">
        <v>2697</v>
      </c>
      <c r="Q779" t="s">
        <v>50</v>
      </c>
      <c r="R779" t="s">
        <v>28</v>
      </c>
      <c r="S779">
        <v>3</v>
      </c>
    </row>
    <row r="780" spans="1:19">
      <c r="A780" t="s">
        <v>1124</v>
      </c>
      <c r="B780" s="2">
        <v>46114</v>
      </c>
      <c r="C780" t="s">
        <v>405</v>
      </c>
      <c r="D780" t="s">
        <v>213</v>
      </c>
      <c r="E780" t="s">
        <v>22</v>
      </c>
      <c r="F780">
        <v>28</v>
      </c>
      <c r="G780" t="s">
        <v>60</v>
      </c>
      <c r="H780" t="s">
        <v>61</v>
      </c>
      <c r="I780" t="s">
        <v>25</v>
      </c>
      <c r="J780" t="s">
        <v>156</v>
      </c>
      <c r="K780">
        <v>1</v>
      </c>
      <c r="L780">
        <v>1999</v>
      </c>
      <c r="M780" s="3">
        <v>0.2</v>
      </c>
      <c r="N780">
        <v>1599.2</v>
      </c>
      <c r="O780">
        <v>1300</v>
      </c>
      <c r="P780">
        <v>299.2</v>
      </c>
      <c r="Q780" t="s">
        <v>69</v>
      </c>
      <c r="R780" t="s">
        <v>51</v>
      </c>
      <c r="S780">
        <v>4</v>
      </c>
    </row>
    <row r="781" spans="1:19">
      <c r="A781" t="s">
        <v>1125</v>
      </c>
      <c r="B781" s="2">
        <v>46181</v>
      </c>
      <c r="C781" t="s">
        <v>789</v>
      </c>
      <c r="D781" t="s">
        <v>790</v>
      </c>
      <c r="E781" t="s">
        <v>22</v>
      </c>
      <c r="F781">
        <v>21</v>
      </c>
      <c r="G781" t="s">
        <v>141</v>
      </c>
      <c r="H781" t="s">
        <v>142</v>
      </c>
      <c r="I781" t="s">
        <v>35</v>
      </c>
      <c r="J781" t="s">
        <v>36</v>
      </c>
      <c r="K781">
        <v>3</v>
      </c>
      <c r="L781">
        <v>599</v>
      </c>
      <c r="M781" s="3">
        <v>0.2</v>
      </c>
      <c r="N781">
        <v>1437.6</v>
      </c>
      <c r="O781">
        <v>960</v>
      </c>
      <c r="P781">
        <v>477.6</v>
      </c>
      <c r="Q781" t="s">
        <v>69</v>
      </c>
      <c r="R781" t="s">
        <v>77</v>
      </c>
      <c r="S781">
        <v>3</v>
      </c>
    </row>
    <row r="782" spans="1:19">
      <c r="A782" t="s">
        <v>1126</v>
      </c>
      <c r="B782" s="2">
        <v>46053</v>
      </c>
      <c r="C782" t="s">
        <v>220</v>
      </c>
      <c r="D782" t="s">
        <v>221</v>
      </c>
      <c r="E782" t="s">
        <v>22</v>
      </c>
      <c r="F782">
        <v>27</v>
      </c>
      <c r="G782" t="s">
        <v>141</v>
      </c>
      <c r="H782" t="s">
        <v>142</v>
      </c>
      <c r="I782" t="s">
        <v>25</v>
      </c>
      <c r="J782" t="s">
        <v>62</v>
      </c>
      <c r="K782">
        <v>4</v>
      </c>
      <c r="L782">
        <v>1299</v>
      </c>
      <c r="M782" s="3">
        <v>0.1</v>
      </c>
      <c r="N782">
        <v>4676.3999999999996</v>
      </c>
      <c r="O782">
        <v>3200</v>
      </c>
      <c r="P782">
        <v>1476.4</v>
      </c>
      <c r="Q782" t="s">
        <v>37</v>
      </c>
      <c r="R782" t="s">
        <v>28</v>
      </c>
      <c r="S782">
        <v>3</v>
      </c>
    </row>
    <row r="783" spans="1:19">
      <c r="A783" t="s">
        <v>1127</v>
      </c>
      <c r="B783" s="2">
        <v>45747</v>
      </c>
      <c r="C783" t="s">
        <v>313</v>
      </c>
      <c r="D783" t="s">
        <v>72</v>
      </c>
      <c r="E783" t="s">
        <v>22</v>
      </c>
      <c r="F783">
        <v>45</v>
      </c>
      <c r="G783" t="s">
        <v>41</v>
      </c>
      <c r="H783" t="s">
        <v>42</v>
      </c>
      <c r="I783" t="s">
        <v>43</v>
      </c>
      <c r="J783" t="s">
        <v>44</v>
      </c>
      <c r="K783">
        <v>4</v>
      </c>
      <c r="L783">
        <v>1599</v>
      </c>
      <c r="M783" s="3">
        <v>0.2</v>
      </c>
      <c r="N783">
        <v>5116.8</v>
      </c>
      <c r="O783">
        <v>3800</v>
      </c>
      <c r="P783">
        <v>1316.8</v>
      </c>
      <c r="Q783" t="s">
        <v>27</v>
      </c>
      <c r="R783" t="s">
        <v>28</v>
      </c>
      <c r="S783">
        <v>4</v>
      </c>
    </row>
    <row r="784" spans="1:19">
      <c r="A784" t="s">
        <v>1128</v>
      </c>
      <c r="B784" s="2">
        <v>46092</v>
      </c>
      <c r="C784" t="s">
        <v>491</v>
      </c>
      <c r="D784" t="s">
        <v>92</v>
      </c>
      <c r="E784" t="s">
        <v>22</v>
      </c>
      <c r="F784">
        <v>25</v>
      </c>
      <c r="G784" t="s">
        <v>23</v>
      </c>
      <c r="H784" t="s">
        <v>24</v>
      </c>
      <c r="I784" t="s">
        <v>35</v>
      </c>
      <c r="J784" t="s">
        <v>136</v>
      </c>
      <c r="K784">
        <v>3</v>
      </c>
      <c r="L784">
        <v>799</v>
      </c>
      <c r="M784" s="3">
        <v>0.05</v>
      </c>
      <c r="N784">
        <v>2277.15</v>
      </c>
      <c r="O784">
        <v>1350</v>
      </c>
      <c r="P784">
        <v>927.15</v>
      </c>
      <c r="Q784" t="s">
        <v>66</v>
      </c>
      <c r="R784" t="s">
        <v>28</v>
      </c>
      <c r="S784">
        <v>5</v>
      </c>
    </row>
    <row r="785" spans="1:19">
      <c r="A785" t="s">
        <v>1129</v>
      </c>
      <c r="B785" s="2">
        <v>46144</v>
      </c>
      <c r="C785" t="s">
        <v>692</v>
      </c>
      <c r="D785" t="s">
        <v>343</v>
      </c>
      <c r="E785" t="s">
        <v>22</v>
      </c>
      <c r="F785">
        <v>50</v>
      </c>
      <c r="G785" t="s">
        <v>48</v>
      </c>
      <c r="H785" t="s">
        <v>42</v>
      </c>
      <c r="I785" t="s">
        <v>25</v>
      </c>
      <c r="J785" t="s">
        <v>62</v>
      </c>
      <c r="K785">
        <v>2</v>
      </c>
      <c r="L785">
        <v>1299</v>
      </c>
      <c r="M785" s="3">
        <v>0.1</v>
      </c>
      <c r="N785">
        <v>2338.1999999999998</v>
      </c>
      <c r="O785">
        <v>1600</v>
      </c>
      <c r="P785">
        <v>738.2</v>
      </c>
      <c r="Q785" t="s">
        <v>50</v>
      </c>
      <c r="R785" t="s">
        <v>51</v>
      </c>
      <c r="S785">
        <v>1</v>
      </c>
    </row>
    <row r="786" spans="1:19">
      <c r="A786" t="s">
        <v>1130</v>
      </c>
      <c r="B786" s="2">
        <v>45937</v>
      </c>
      <c r="C786" t="s">
        <v>516</v>
      </c>
      <c r="D786" t="s">
        <v>449</v>
      </c>
      <c r="E786" t="s">
        <v>22</v>
      </c>
      <c r="F786">
        <v>45</v>
      </c>
      <c r="G786" t="s">
        <v>41</v>
      </c>
      <c r="H786" t="s">
        <v>42</v>
      </c>
      <c r="I786" t="s">
        <v>25</v>
      </c>
      <c r="J786" t="s">
        <v>26</v>
      </c>
      <c r="K786">
        <v>1</v>
      </c>
      <c r="L786">
        <v>2499</v>
      </c>
      <c r="M786" s="3">
        <v>0.15</v>
      </c>
      <c r="N786">
        <v>2124.15</v>
      </c>
      <c r="O786">
        <v>1600</v>
      </c>
      <c r="P786">
        <v>524.15</v>
      </c>
      <c r="Q786" t="s">
        <v>66</v>
      </c>
      <c r="R786" t="s">
        <v>28</v>
      </c>
      <c r="S786">
        <v>4</v>
      </c>
    </row>
    <row r="787" spans="1:19">
      <c r="A787" t="s">
        <v>1131</v>
      </c>
      <c r="B787" s="2">
        <v>46048</v>
      </c>
      <c r="C787" t="s">
        <v>292</v>
      </c>
      <c r="D787" t="s">
        <v>293</v>
      </c>
      <c r="E787" t="s">
        <v>32</v>
      </c>
      <c r="F787">
        <v>29</v>
      </c>
      <c r="G787" t="s">
        <v>180</v>
      </c>
      <c r="H787" t="s">
        <v>181</v>
      </c>
      <c r="I787" t="s">
        <v>25</v>
      </c>
      <c r="J787" t="s">
        <v>62</v>
      </c>
      <c r="K787">
        <v>2</v>
      </c>
      <c r="L787">
        <v>1299</v>
      </c>
      <c r="M787" s="3">
        <v>0.05</v>
      </c>
      <c r="N787">
        <v>2468.1</v>
      </c>
      <c r="O787">
        <v>1600</v>
      </c>
      <c r="P787">
        <v>868.1</v>
      </c>
      <c r="Q787" t="s">
        <v>37</v>
      </c>
      <c r="R787" t="s">
        <v>28</v>
      </c>
      <c r="S787">
        <v>1</v>
      </c>
    </row>
    <row r="788" spans="1:19">
      <c r="A788" t="s">
        <v>1132</v>
      </c>
      <c r="B788" s="2">
        <v>46230</v>
      </c>
      <c r="C788" t="s">
        <v>227</v>
      </c>
      <c r="D788" t="s">
        <v>228</v>
      </c>
      <c r="E788" t="s">
        <v>22</v>
      </c>
      <c r="F788">
        <v>24</v>
      </c>
      <c r="G788" t="s">
        <v>93</v>
      </c>
      <c r="H788" t="s">
        <v>94</v>
      </c>
      <c r="I788" t="s">
        <v>75</v>
      </c>
      <c r="J788" t="s">
        <v>86</v>
      </c>
      <c r="K788">
        <v>3</v>
      </c>
      <c r="L788">
        <v>499</v>
      </c>
      <c r="M788" s="3">
        <v>0.15</v>
      </c>
      <c r="N788">
        <v>1272.45</v>
      </c>
      <c r="O788">
        <v>900</v>
      </c>
      <c r="P788">
        <v>372.45</v>
      </c>
      <c r="Q788" t="s">
        <v>66</v>
      </c>
      <c r="R788" t="s">
        <v>28</v>
      </c>
      <c r="S788">
        <v>1</v>
      </c>
    </row>
    <row r="789" spans="1:19">
      <c r="A789" t="s">
        <v>1133</v>
      </c>
      <c r="B789" s="2">
        <v>45785</v>
      </c>
      <c r="C789" t="s">
        <v>315</v>
      </c>
      <c r="D789" t="s">
        <v>305</v>
      </c>
      <c r="E789" t="s">
        <v>22</v>
      </c>
      <c r="F789">
        <v>18</v>
      </c>
      <c r="G789" t="s">
        <v>48</v>
      </c>
      <c r="H789" t="s">
        <v>42</v>
      </c>
      <c r="I789" t="s">
        <v>43</v>
      </c>
      <c r="J789" t="s">
        <v>197</v>
      </c>
      <c r="K789">
        <v>3</v>
      </c>
      <c r="L789">
        <v>1799</v>
      </c>
      <c r="M789" s="3">
        <v>0.15</v>
      </c>
      <c r="N789">
        <v>4587.45</v>
      </c>
      <c r="O789">
        <v>3150</v>
      </c>
      <c r="P789">
        <v>1437.45</v>
      </c>
      <c r="Q789" t="s">
        <v>37</v>
      </c>
      <c r="R789" t="s">
        <v>28</v>
      </c>
      <c r="S789">
        <v>4</v>
      </c>
    </row>
    <row r="790" spans="1:19">
      <c r="A790" t="s">
        <v>1134</v>
      </c>
      <c r="B790" s="2">
        <v>46162</v>
      </c>
      <c r="C790" t="s">
        <v>189</v>
      </c>
      <c r="D790" t="s">
        <v>190</v>
      </c>
      <c r="E790" t="s">
        <v>32</v>
      </c>
      <c r="F790">
        <v>22</v>
      </c>
      <c r="G790" t="s">
        <v>115</v>
      </c>
      <c r="H790" t="s">
        <v>116</v>
      </c>
      <c r="I790" t="s">
        <v>25</v>
      </c>
      <c r="J790" t="s">
        <v>156</v>
      </c>
      <c r="K790">
        <v>1</v>
      </c>
      <c r="L790">
        <v>1999</v>
      </c>
      <c r="M790" s="3">
        <v>0.1</v>
      </c>
      <c r="N790">
        <v>1799.1</v>
      </c>
      <c r="O790">
        <v>1300</v>
      </c>
      <c r="P790">
        <v>499.1</v>
      </c>
      <c r="Q790" t="s">
        <v>69</v>
      </c>
      <c r="R790" t="s">
        <v>28</v>
      </c>
      <c r="S790">
        <v>3</v>
      </c>
    </row>
    <row r="791" spans="1:19">
      <c r="A791" t="s">
        <v>1135</v>
      </c>
      <c r="B791" s="2">
        <v>46145</v>
      </c>
      <c r="C791" t="s">
        <v>212</v>
      </c>
      <c r="D791" t="s">
        <v>213</v>
      </c>
      <c r="E791" t="s">
        <v>22</v>
      </c>
      <c r="F791">
        <v>33</v>
      </c>
      <c r="G791" t="s">
        <v>48</v>
      </c>
      <c r="H791" t="s">
        <v>42</v>
      </c>
      <c r="I791" t="s">
        <v>35</v>
      </c>
      <c r="J791" t="s">
        <v>36</v>
      </c>
      <c r="K791">
        <v>4</v>
      </c>
      <c r="L791">
        <v>599</v>
      </c>
      <c r="M791" s="3">
        <v>0.1</v>
      </c>
      <c r="N791">
        <v>2156.4</v>
      </c>
      <c r="O791">
        <v>1280</v>
      </c>
      <c r="P791">
        <v>876.4</v>
      </c>
      <c r="Q791" t="s">
        <v>69</v>
      </c>
      <c r="R791" t="s">
        <v>28</v>
      </c>
      <c r="S791">
        <v>5</v>
      </c>
    </row>
    <row r="792" spans="1:19">
      <c r="A792" t="s">
        <v>1136</v>
      </c>
      <c r="B792" s="2">
        <v>45717</v>
      </c>
      <c r="C792" t="s">
        <v>20</v>
      </c>
      <c r="D792" t="s">
        <v>21</v>
      </c>
      <c r="E792" t="s">
        <v>22</v>
      </c>
      <c r="F792">
        <v>52</v>
      </c>
      <c r="G792" t="s">
        <v>23</v>
      </c>
      <c r="H792" t="s">
        <v>24</v>
      </c>
      <c r="I792" t="s">
        <v>43</v>
      </c>
      <c r="J792" t="s">
        <v>197</v>
      </c>
      <c r="K792">
        <v>2</v>
      </c>
      <c r="L792">
        <v>1799</v>
      </c>
      <c r="M792" s="3">
        <v>0.2</v>
      </c>
      <c r="N792">
        <v>2878.4</v>
      </c>
      <c r="O792">
        <v>2100</v>
      </c>
      <c r="P792">
        <v>778.4</v>
      </c>
      <c r="Q792" t="s">
        <v>27</v>
      </c>
      <c r="R792" t="s">
        <v>28</v>
      </c>
      <c r="S792">
        <v>2</v>
      </c>
    </row>
    <row r="793" spans="1:19">
      <c r="A793" t="s">
        <v>1137</v>
      </c>
      <c r="B793" s="2">
        <v>46027</v>
      </c>
      <c r="C793" t="s">
        <v>653</v>
      </c>
      <c r="D793" t="s">
        <v>255</v>
      </c>
      <c r="E793" t="s">
        <v>32</v>
      </c>
      <c r="F793">
        <v>38</v>
      </c>
      <c r="G793" t="s">
        <v>93</v>
      </c>
      <c r="H793" t="s">
        <v>94</v>
      </c>
      <c r="I793" t="s">
        <v>43</v>
      </c>
      <c r="J793" t="s">
        <v>95</v>
      </c>
      <c r="K793">
        <v>1</v>
      </c>
      <c r="L793">
        <v>2499</v>
      </c>
      <c r="M793" s="3">
        <v>0.1</v>
      </c>
      <c r="N793">
        <v>2249.1</v>
      </c>
      <c r="O793">
        <v>1500</v>
      </c>
      <c r="P793">
        <v>749.1</v>
      </c>
      <c r="Q793" t="s">
        <v>66</v>
      </c>
      <c r="R793" t="s">
        <v>28</v>
      </c>
      <c r="S793">
        <v>3</v>
      </c>
    </row>
    <row r="794" spans="1:19">
      <c r="A794" t="s">
        <v>1138</v>
      </c>
      <c r="B794" s="2">
        <v>45736</v>
      </c>
      <c r="C794" t="s">
        <v>506</v>
      </c>
      <c r="D794" t="s">
        <v>414</v>
      </c>
      <c r="E794" t="s">
        <v>22</v>
      </c>
      <c r="F794">
        <v>42</v>
      </c>
      <c r="G794" t="s">
        <v>180</v>
      </c>
      <c r="H794" t="s">
        <v>181</v>
      </c>
      <c r="I794" t="s">
        <v>43</v>
      </c>
      <c r="J794" t="s">
        <v>44</v>
      </c>
      <c r="K794">
        <v>3</v>
      </c>
      <c r="L794">
        <v>1599</v>
      </c>
      <c r="M794" s="3">
        <v>0.2</v>
      </c>
      <c r="N794">
        <v>3837.6</v>
      </c>
      <c r="O794">
        <v>2850</v>
      </c>
      <c r="P794">
        <v>987.6</v>
      </c>
      <c r="Q794" t="s">
        <v>50</v>
      </c>
      <c r="R794" t="s">
        <v>28</v>
      </c>
      <c r="S794">
        <v>2</v>
      </c>
    </row>
    <row r="795" spans="1:19">
      <c r="A795" t="s">
        <v>1139</v>
      </c>
      <c r="B795" s="2">
        <v>45988</v>
      </c>
      <c r="C795" t="s">
        <v>579</v>
      </c>
      <c r="D795" t="s">
        <v>145</v>
      </c>
      <c r="E795" t="s">
        <v>32</v>
      </c>
      <c r="F795">
        <v>22</v>
      </c>
      <c r="G795" t="s">
        <v>141</v>
      </c>
      <c r="H795" t="s">
        <v>142</v>
      </c>
      <c r="I795" t="s">
        <v>75</v>
      </c>
      <c r="J795" t="s">
        <v>106</v>
      </c>
      <c r="K795">
        <v>2</v>
      </c>
      <c r="L795">
        <v>899</v>
      </c>
      <c r="M795" s="3">
        <v>0.2</v>
      </c>
      <c r="N795">
        <v>1438.4</v>
      </c>
      <c r="O795">
        <v>1200</v>
      </c>
      <c r="P795">
        <v>238.4</v>
      </c>
      <c r="Q795" t="s">
        <v>37</v>
      </c>
      <c r="R795" t="s">
        <v>137</v>
      </c>
      <c r="S795">
        <v>3</v>
      </c>
    </row>
    <row r="796" spans="1:19">
      <c r="A796" t="s">
        <v>1140</v>
      </c>
      <c r="B796" s="2">
        <v>46205</v>
      </c>
      <c r="C796" t="s">
        <v>39</v>
      </c>
      <c r="D796" t="s">
        <v>40</v>
      </c>
      <c r="E796" t="s">
        <v>22</v>
      </c>
      <c r="F796">
        <v>39</v>
      </c>
      <c r="G796" t="s">
        <v>41</v>
      </c>
      <c r="H796" t="s">
        <v>42</v>
      </c>
      <c r="I796" t="s">
        <v>117</v>
      </c>
      <c r="J796" t="s">
        <v>118</v>
      </c>
      <c r="K796">
        <v>3</v>
      </c>
      <c r="L796">
        <v>999</v>
      </c>
      <c r="M796" s="3">
        <v>0</v>
      </c>
      <c r="N796">
        <v>2997</v>
      </c>
      <c r="O796">
        <v>1650</v>
      </c>
      <c r="P796">
        <v>1347</v>
      </c>
      <c r="Q796" t="s">
        <v>50</v>
      </c>
      <c r="R796" t="s">
        <v>28</v>
      </c>
      <c r="S796">
        <v>2</v>
      </c>
    </row>
    <row r="797" spans="1:19">
      <c r="A797" t="s">
        <v>1141</v>
      </c>
      <c r="B797" s="2">
        <v>46154</v>
      </c>
      <c r="C797" t="s">
        <v>172</v>
      </c>
      <c r="D797" t="s">
        <v>173</v>
      </c>
      <c r="E797" t="s">
        <v>22</v>
      </c>
      <c r="F797">
        <v>50</v>
      </c>
      <c r="G797" t="s">
        <v>48</v>
      </c>
      <c r="H797" t="s">
        <v>42</v>
      </c>
      <c r="I797" t="s">
        <v>25</v>
      </c>
      <c r="J797" t="s">
        <v>62</v>
      </c>
      <c r="K797">
        <v>3</v>
      </c>
      <c r="L797">
        <v>1299</v>
      </c>
      <c r="M797" s="3">
        <v>0.1</v>
      </c>
      <c r="N797">
        <v>3507.3</v>
      </c>
      <c r="O797">
        <v>2400</v>
      </c>
      <c r="P797">
        <v>1107.3</v>
      </c>
      <c r="Q797" t="s">
        <v>66</v>
      </c>
      <c r="R797" t="s">
        <v>28</v>
      </c>
      <c r="S797">
        <v>2</v>
      </c>
    </row>
    <row r="798" spans="1:19">
      <c r="A798" t="s">
        <v>1142</v>
      </c>
      <c r="B798" s="2">
        <v>45884</v>
      </c>
      <c r="C798" t="s">
        <v>595</v>
      </c>
      <c r="D798" t="s">
        <v>596</v>
      </c>
      <c r="E798" t="s">
        <v>22</v>
      </c>
      <c r="F798">
        <v>25</v>
      </c>
      <c r="G798" t="s">
        <v>180</v>
      </c>
      <c r="H798" t="s">
        <v>181</v>
      </c>
      <c r="I798" t="s">
        <v>43</v>
      </c>
      <c r="J798" t="s">
        <v>49</v>
      </c>
      <c r="K798">
        <v>2</v>
      </c>
      <c r="L798">
        <v>799</v>
      </c>
      <c r="M798" s="3">
        <v>0.2</v>
      </c>
      <c r="N798">
        <v>1278.4000000000001</v>
      </c>
      <c r="O798">
        <v>900</v>
      </c>
      <c r="P798">
        <v>378.4</v>
      </c>
      <c r="Q798" t="s">
        <v>27</v>
      </c>
      <c r="R798" t="s">
        <v>137</v>
      </c>
      <c r="S798">
        <v>1</v>
      </c>
    </row>
    <row r="799" spans="1:19">
      <c r="A799" t="s">
        <v>1143</v>
      </c>
      <c r="B799" s="2">
        <v>45792</v>
      </c>
      <c r="C799" t="s">
        <v>491</v>
      </c>
      <c r="D799" t="s">
        <v>92</v>
      </c>
      <c r="E799" t="s">
        <v>22</v>
      </c>
      <c r="F799">
        <v>25</v>
      </c>
      <c r="G799" t="s">
        <v>23</v>
      </c>
      <c r="H799" t="s">
        <v>24</v>
      </c>
      <c r="I799" t="s">
        <v>35</v>
      </c>
      <c r="J799" t="s">
        <v>136</v>
      </c>
      <c r="K799">
        <v>1</v>
      </c>
      <c r="L799">
        <v>799</v>
      </c>
      <c r="M799" s="3">
        <v>0</v>
      </c>
      <c r="N799">
        <v>799</v>
      </c>
      <c r="O799">
        <v>450</v>
      </c>
      <c r="P799">
        <v>349</v>
      </c>
      <c r="Q799" t="s">
        <v>69</v>
      </c>
      <c r="R799" t="s">
        <v>28</v>
      </c>
      <c r="S799">
        <v>3</v>
      </c>
    </row>
    <row r="800" spans="1:19">
      <c r="A800" t="s">
        <v>1144</v>
      </c>
      <c r="B800" s="2">
        <v>46193</v>
      </c>
      <c r="C800" t="s">
        <v>131</v>
      </c>
      <c r="D800" t="s">
        <v>132</v>
      </c>
      <c r="E800" t="s">
        <v>32</v>
      </c>
      <c r="F800">
        <v>44</v>
      </c>
      <c r="G800" t="s">
        <v>23</v>
      </c>
      <c r="H800" t="s">
        <v>24</v>
      </c>
      <c r="I800" t="s">
        <v>25</v>
      </c>
      <c r="J800" t="s">
        <v>62</v>
      </c>
      <c r="K800">
        <v>4</v>
      </c>
      <c r="L800">
        <v>1299</v>
      </c>
      <c r="M800" s="3">
        <v>0.2</v>
      </c>
      <c r="N800">
        <v>4156.8</v>
      </c>
      <c r="O800">
        <v>3200</v>
      </c>
      <c r="P800">
        <v>956.8</v>
      </c>
      <c r="Q800" t="s">
        <v>37</v>
      </c>
      <c r="R800" t="s">
        <v>28</v>
      </c>
      <c r="S800">
        <v>3</v>
      </c>
    </row>
    <row r="801" spans="1:19">
      <c r="A801" t="s">
        <v>1145</v>
      </c>
      <c r="B801" s="2">
        <v>45789</v>
      </c>
      <c r="C801" t="s">
        <v>186</v>
      </c>
      <c r="D801" t="s">
        <v>187</v>
      </c>
      <c r="E801" t="s">
        <v>22</v>
      </c>
      <c r="F801">
        <v>42</v>
      </c>
      <c r="G801" t="s">
        <v>60</v>
      </c>
      <c r="H801" t="s">
        <v>61</v>
      </c>
      <c r="I801" t="s">
        <v>117</v>
      </c>
      <c r="J801" t="s">
        <v>152</v>
      </c>
      <c r="K801">
        <v>1</v>
      </c>
      <c r="L801">
        <v>899</v>
      </c>
      <c r="M801" s="3">
        <v>0.05</v>
      </c>
      <c r="N801">
        <v>854.05</v>
      </c>
      <c r="O801">
        <v>500</v>
      </c>
      <c r="P801">
        <v>354.05</v>
      </c>
      <c r="Q801" t="s">
        <v>27</v>
      </c>
      <c r="R801" t="s">
        <v>28</v>
      </c>
      <c r="S801">
        <v>3</v>
      </c>
    </row>
    <row r="802" spans="1:19">
      <c r="A802" t="s">
        <v>1146</v>
      </c>
      <c r="B802" s="2">
        <v>46093</v>
      </c>
      <c r="C802" t="s">
        <v>169</v>
      </c>
      <c r="D802" t="s">
        <v>170</v>
      </c>
      <c r="E802" t="s">
        <v>32</v>
      </c>
      <c r="F802">
        <v>37</v>
      </c>
      <c r="G802" t="s">
        <v>60</v>
      </c>
      <c r="H802" t="s">
        <v>61</v>
      </c>
      <c r="I802" t="s">
        <v>43</v>
      </c>
      <c r="J802" t="s">
        <v>49</v>
      </c>
      <c r="K802">
        <v>2</v>
      </c>
      <c r="L802">
        <v>799</v>
      </c>
      <c r="M802" s="3">
        <v>0</v>
      </c>
      <c r="N802">
        <v>1598</v>
      </c>
      <c r="O802">
        <v>900</v>
      </c>
      <c r="P802">
        <v>698</v>
      </c>
      <c r="Q802" t="s">
        <v>69</v>
      </c>
      <c r="R802" t="s">
        <v>28</v>
      </c>
      <c r="S802">
        <v>4</v>
      </c>
    </row>
    <row r="803" spans="1:19">
      <c r="A803" t="s">
        <v>1147</v>
      </c>
      <c r="B803" s="2">
        <v>45691</v>
      </c>
      <c r="C803" t="s">
        <v>267</v>
      </c>
      <c r="D803" t="s">
        <v>268</v>
      </c>
      <c r="E803" t="s">
        <v>22</v>
      </c>
      <c r="F803">
        <v>35</v>
      </c>
      <c r="G803" t="s">
        <v>141</v>
      </c>
      <c r="H803" t="s">
        <v>142</v>
      </c>
      <c r="I803" t="s">
        <v>25</v>
      </c>
      <c r="J803" t="s">
        <v>68</v>
      </c>
      <c r="K803">
        <v>2</v>
      </c>
      <c r="L803">
        <v>2999</v>
      </c>
      <c r="M803" s="3">
        <v>0</v>
      </c>
      <c r="N803">
        <v>5998</v>
      </c>
      <c r="O803">
        <v>3800</v>
      </c>
      <c r="P803">
        <v>2198</v>
      </c>
      <c r="Q803" t="s">
        <v>50</v>
      </c>
      <c r="R803" t="s">
        <v>28</v>
      </c>
      <c r="S803">
        <v>4</v>
      </c>
    </row>
    <row r="804" spans="1:19">
      <c r="A804" t="s">
        <v>1148</v>
      </c>
      <c r="B804" s="2">
        <v>45966</v>
      </c>
      <c r="C804" t="s">
        <v>562</v>
      </c>
      <c r="D804" t="s">
        <v>563</v>
      </c>
      <c r="E804" t="s">
        <v>22</v>
      </c>
      <c r="F804">
        <v>27</v>
      </c>
      <c r="G804" t="s">
        <v>180</v>
      </c>
      <c r="H804" t="s">
        <v>181</v>
      </c>
      <c r="I804" t="s">
        <v>43</v>
      </c>
      <c r="J804" t="s">
        <v>197</v>
      </c>
      <c r="K804">
        <v>1</v>
      </c>
      <c r="L804">
        <v>1799</v>
      </c>
      <c r="M804" s="3">
        <v>0</v>
      </c>
      <c r="N804">
        <v>1799</v>
      </c>
      <c r="O804">
        <v>1050</v>
      </c>
      <c r="P804">
        <v>749</v>
      </c>
      <c r="Q804" t="s">
        <v>69</v>
      </c>
      <c r="R804" t="s">
        <v>28</v>
      </c>
      <c r="S804">
        <v>1</v>
      </c>
    </row>
    <row r="805" spans="1:19">
      <c r="A805" t="s">
        <v>1149</v>
      </c>
      <c r="B805" s="2">
        <v>46017</v>
      </c>
      <c r="C805" t="s">
        <v>413</v>
      </c>
      <c r="D805" t="s">
        <v>414</v>
      </c>
      <c r="E805" t="s">
        <v>22</v>
      </c>
      <c r="F805">
        <v>42</v>
      </c>
      <c r="G805" t="s">
        <v>33</v>
      </c>
      <c r="H805" t="s">
        <v>34</v>
      </c>
      <c r="I805" t="s">
        <v>75</v>
      </c>
      <c r="J805" t="s">
        <v>86</v>
      </c>
      <c r="K805">
        <v>2</v>
      </c>
      <c r="L805">
        <v>499</v>
      </c>
      <c r="M805" s="3">
        <v>0.05</v>
      </c>
      <c r="N805">
        <v>948.1</v>
      </c>
      <c r="O805">
        <v>600</v>
      </c>
      <c r="P805">
        <v>348.1</v>
      </c>
      <c r="Q805" t="s">
        <v>69</v>
      </c>
      <c r="R805" t="s">
        <v>28</v>
      </c>
      <c r="S805">
        <v>3</v>
      </c>
    </row>
    <row r="806" spans="1:19">
      <c r="A806" t="s">
        <v>1150</v>
      </c>
      <c r="B806" s="2">
        <v>46170</v>
      </c>
      <c r="C806" t="s">
        <v>212</v>
      </c>
      <c r="D806" t="s">
        <v>213</v>
      </c>
      <c r="E806" t="s">
        <v>22</v>
      </c>
      <c r="F806">
        <v>33</v>
      </c>
      <c r="G806" t="s">
        <v>48</v>
      </c>
      <c r="H806" t="s">
        <v>42</v>
      </c>
      <c r="I806" t="s">
        <v>163</v>
      </c>
      <c r="J806" t="s">
        <v>214</v>
      </c>
      <c r="K806">
        <v>3</v>
      </c>
      <c r="L806">
        <v>1499</v>
      </c>
      <c r="M806" s="3">
        <v>0.05</v>
      </c>
      <c r="N806">
        <v>4272.1499999999996</v>
      </c>
      <c r="O806">
        <v>2700</v>
      </c>
      <c r="P806">
        <v>1572.15</v>
      </c>
      <c r="Q806" t="s">
        <v>50</v>
      </c>
      <c r="R806" t="s">
        <v>28</v>
      </c>
      <c r="S806">
        <v>5</v>
      </c>
    </row>
    <row r="807" spans="1:19">
      <c r="A807" t="s">
        <v>1151</v>
      </c>
      <c r="B807" s="2">
        <v>45880</v>
      </c>
      <c r="C807" t="s">
        <v>670</v>
      </c>
      <c r="D807" t="s">
        <v>671</v>
      </c>
      <c r="E807" t="s">
        <v>22</v>
      </c>
      <c r="F807">
        <v>38</v>
      </c>
      <c r="G807" t="s">
        <v>180</v>
      </c>
      <c r="H807" t="s">
        <v>181</v>
      </c>
      <c r="I807" t="s">
        <v>25</v>
      </c>
      <c r="J807" t="s">
        <v>56</v>
      </c>
      <c r="K807">
        <v>1</v>
      </c>
      <c r="L807">
        <v>899</v>
      </c>
      <c r="M807" s="3">
        <v>0.2</v>
      </c>
      <c r="N807">
        <v>719.2</v>
      </c>
      <c r="O807">
        <v>550</v>
      </c>
      <c r="P807">
        <v>169.2</v>
      </c>
      <c r="Q807" t="s">
        <v>27</v>
      </c>
      <c r="R807" t="s">
        <v>51</v>
      </c>
      <c r="S807">
        <v>2</v>
      </c>
    </row>
    <row r="808" spans="1:19">
      <c r="A808" t="s">
        <v>1152</v>
      </c>
      <c r="B808" s="2">
        <v>46174</v>
      </c>
      <c r="C808" t="s">
        <v>467</v>
      </c>
      <c r="D808" t="s">
        <v>322</v>
      </c>
      <c r="E808" t="s">
        <v>32</v>
      </c>
      <c r="F808">
        <v>41</v>
      </c>
      <c r="G808" t="s">
        <v>55</v>
      </c>
      <c r="H808" t="s">
        <v>34</v>
      </c>
      <c r="I808" t="s">
        <v>25</v>
      </c>
      <c r="J808" t="s">
        <v>156</v>
      </c>
      <c r="K808">
        <v>1</v>
      </c>
      <c r="L808">
        <v>1999</v>
      </c>
      <c r="M808" s="3">
        <v>0.05</v>
      </c>
      <c r="N808">
        <v>1899.05</v>
      </c>
      <c r="O808">
        <v>1300</v>
      </c>
      <c r="P808">
        <v>599.04999999999995</v>
      </c>
      <c r="Q808" t="s">
        <v>66</v>
      </c>
      <c r="R808" t="s">
        <v>28</v>
      </c>
      <c r="S808">
        <v>5</v>
      </c>
    </row>
    <row r="809" spans="1:19">
      <c r="A809" t="s">
        <v>1153</v>
      </c>
      <c r="B809" s="2">
        <v>46021</v>
      </c>
      <c r="C809" t="s">
        <v>46</v>
      </c>
      <c r="D809" t="s">
        <v>47</v>
      </c>
      <c r="E809" t="s">
        <v>32</v>
      </c>
      <c r="F809">
        <v>26</v>
      </c>
      <c r="G809" t="s">
        <v>48</v>
      </c>
      <c r="H809" t="s">
        <v>42</v>
      </c>
      <c r="I809" t="s">
        <v>35</v>
      </c>
      <c r="J809" t="s">
        <v>136</v>
      </c>
      <c r="K809">
        <v>1</v>
      </c>
      <c r="L809">
        <v>799</v>
      </c>
      <c r="M809" s="3">
        <v>0.05</v>
      </c>
      <c r="N809">
        <v>759.05</v>
      </c>
      <c r="O809">
        <v>450</v>
      </c>
      <c r="P809">
        <v>309.05</v>
      </c>
      <c r="Q809" t="s">
        <v>66</v>
      </c>
      <c r="R809" t="s">
        <v>28</v>
      </c>
      <c r="S809">
        <v>5</v>
      </c>
    </row>
    <row r="810" spans="1:19">
      <c r="A810" t="s">
        <v>1154</v>
      </c>
      <c r="B810" s="2">
        <v>45784</v>
      </c>
      <c r="C810" t="s">
        <v>183</v>
      </c>
      <c r="D810" t="s">
        <v>184</v>
      </c>
      <c r="E810" t="s">
        <v>22</v>
      </c>
      <c r="F810">
        <v>43</v>
      </c>
      <c r="G810" t="s">
        <v>60</v>
      </c>
      <c r="H810" t="s">
        <v>61</v>
      </c>
      <c r="I810" t="s">
        <v>163</v>
      </c>
      <c r="J810" t="s">
        <v>234</v>
      </c>
      <c r="K810">
        <v>1</v>
      </c>
      <c r="L810">
        <v>999</v>
      </c>
      <c r="M810" s="3">
        <v>0.1</v>
      </c>
      <c r="N810">
        <v>899.1</v>
      </c>
      <c r="O810">
        <v>600</v>
      </c>
      <c r="P810">
        <v>299.10000000000002</v>
      </c>
      <c r="Q810" t="s">
        <v>66</v>
      </c>
      <c r="R810" t="s">
        <v>28</v>
      </c>
      <c r="S810">
        <v>2</v>
      </c>
    </row>
    <row r="811" spans="1:19">
      <c r="A811" t="s">
        <v>1155</v>
      </c>
      <c r="B811" s="2">
        <v>45699</v>
      </c>
      <c r="C811" t="s">
        <v>230</v>
      </c>
      <c r="D811" t="s">
        <v>231</v>
      </c>
      <c r="E811" t="s">
        <v>32</v>
      </c>
      <c r="F811">
        <v>35</v>
      </c>
      <c r="G811" t="s">
        <v>55</v>
      </c>
      <c r="H811" t="s">
        <v>34</v>
      </c>
      <c r="I811" t="s">
        <v>163</v>
      </c>
      <c r="J811" t="s">
        <v>214</v>
      </c>
      <c r="K811">
        <v>3</v>
      </c>
      <c r="L811">
        <v>1499</v>
      </c>
      <c r="M811" s="3">
        <v>0.2</v>
      </c>
      <c r="N811">
        <v>3597.6</v>
      </c>
      <c r="O811">
        <v>2700</v>
      </c>
      <c r="P811">
        <v>897.6</v>
      </c>
      <c r="Q811" t="s">
        <v>69</v>
      </c>
      <c r="R811" t="s">
        <v>28</v>
      </c>
      <c r="S811">
        <v>1</v>
      </c>
    </row>
    <row r="812" spans="1:19">
      <c r="A812" t="s">
        <v>1156</v>
      </c>
      <c r="B812" s="2">
        <v>45977</v>
      </c>
      <c r="C812" t="s">
        <v>202</v>
      </c>
      <c r="D812" t="s">
        <v>89</v>
      </c>
      <c r="E812" t="s">
        <v>22</v>
      </c>
      <c r="F812">
        <v>50</v>
      </c>
      <c r="G812" t="s">
        <v>93</v>
      </c>
      <c r="H812" t="s">
        <v>94</v>
      </c>
      <c r="I812" t="s">
        <v>43</v>
      </c>
      <c r="J812" t="s">
        <v>44</v>
      </c>
      <c r="K812">
        <v>4</v>
      </c>
      <c r="L812">
        <v>1599</v>
      </c>
      <c r="M812" s="3">
        <v>0.2</v>
      </c>
      <c r="N812">
        <v>5116.8</v>
      </c>
      <c r="O812">
        <v>3800</v>
      </c>
      <c r="P812">
        <v>1316.8</v>
      </c>
      <c r="Q812" t="s">
        <v>66</v>
      </c>
      <c r="R812" t="s">
        <v>28</v>
      </c>
      <c r="S812">
        <v>4</v>
      </c>
    </row>
    <row r="813" spans="1:19">
      <c r="A813" t="s">
        <v>1157</v>
      </c>
      <c r="B813" s="2">
        <v>46145</v>
      </c>
      <c r="C813" t="s">
        <v>623</v>
      </c>
      <c r="D813" t="s">
        <v>624</v>
      </c>
      <c r="E813" t="s">
        <v>22</v>
      </c>
      <c r="F813">
        <v>52</v>
      </c>
      <c r="G813" t="s">
        <v>60</v>
      </c>
      <c r="H813" t="s">
        <v>61</v>
      </c>
      <c r="I813" t="s">
        <v>163</v>
      </c>
      <c r="J813" t="s">
        <v>234</v>
      </c>
      <c r="K813">
        <v>2</v>
      </c>
      <c r="L813">
        <v>999</v>
      </c>
      <c r="M813" s="3">
        <v>0</v>
      </c>
      <c r="N813">
        <v>1998</v>
      </c>
      <c r="O813">
        <v>1200</v>
      </c>
      <c r="P813">
        <v>798</v>
      </c>
      <c r="Q813" t="s">
        <v>37</v>
      </c>
      <c r="R813" t="s">
        <v>28</v>
      </c>
      <c r="S813">
        <v>4</v>
      </c>
    </row>
    <row r="814" spans="1:19">
      <c r="A814" t="s">
        <v>1158</v>
      </c>
      <c r="B814" s="2">
        <v>45745</v>
      </c>
      <c r="C814" t="s">
        <v>595</v>
      </c>
      <c r="D814" t="s">
        <v>596</v>
      </c>
      <c r="E814" t="s">
        <v>22</v>
      </c>
      <c r="F814">
        <v>25</v>
      </c>
      <c r="G814" t="s">
        <v>180</v>
      </c>
      <c r="H814" t="s">
        <v>181</v>
      </c>
      <c r="I814" t="s">
        <v>163</v>
      </c>
      <c r="J814" t="s">
        <v>290</v>
      </c>
      <c r="K814">
        <v>4</v>
      </c>
      <c r="L814">
        <v>1999</v>
      </c>
      <c r="M814" s="3">
        <v>0.2</v>
      </c>
      <c r="N814">
        <v>6396.8</v>
      </c>
      <c r="O814">
        <v>4800</v>
      </c>
      <c r="P814">
        <v>1596.8</v>
      </c>
      <c r="Q814" t="s">
        <v>69</v>
      </c>
      <c r="R814" t="s">
        <v>28</v>
      </c>
      <c r="S814">
        <v>4</v>
      </c>
    </row>
    <row r="815" spans="1:19">
      <c r="A815" t="s">
        <v>1159</v>
      </c>
      <c r="B815" s="2">
        <v>46030</v>
      </c>
      <c r="C815" t="s">
        <v>595</v>
      </c>
      <c r="D815" t="s">
        <v>596</v>
      </c>
      <c r="E815" t="s">
        <v>22</v>
      </c>
      <c r="F815">
        <v>25</v>
      </c>
      <c r="G815" t="s">
        <v>180</v>
      </c>
      <c r="H815" t="s">
        <v>181</v>
      </c>
      <c r="I815" t="s">
        <v>117</v>
      </c>
      <c r="J815" t="s">
        <v>152</v>
      </c>
      <c r="K815">
        <v>2</v>
      </c>
      <c r="L815">
        <v>899</v>
      </c>
      <c r="M815" s="3">
        <v>0</v>
      </c>
      <c r="N815">
        <v>1798</v>
      </c>
      <c r="O815">
        <v>1000</v>
      </c>
      <c r="P815">
        <v>798</v>
      </c>
      <c r="Q815" t="s">
        <v>27</v>
      </c>
      <c r="R815" t="s">
        <v>28</v>
      </c>
      <c r="S815">
        <v>5</v>
      </c>
    </row>
    <row r="816" spans="1:19">
      <c r="A816" t="s">
        <v>1160</v>
      </c>
      <c r="B816" s="2">
        <v>46169</v>
      </c>
      <c r="C816" t="s">
        <v>128</v>
      </c>
      <c r="D816" t="s">
        <v>129</v>
      </c>
      <c r="E816" t="s">
        <v>22</v>
      </c>
      <c r="F816">
        <v>42</v>
      </c>
      <c r="G816" t="s">
        <v>105</v>
      </c>
      <c r="H816" t="s">
        <v>105</v>
      </c>
      <c r="I816" t="s">
        <v>25</v>
      </c>
      <c r="J816" t="s">
        <v>56</v>
      </c>
      <c r="K816">
        <v>2</v>
      </c>
      <c r="L816">
        <v>899</v>
      </c>
      <c r="M816" s="3">
        <v>0.15</v>
      </c>
      <c r="N816">
        <v>1528.3</v>
      </c>
      <c r="O816">
        <v>1100</v>
      </c>
      <c r="P816">
        <v>428.3</v>
      </c>
      <c r="Q816" t="s">
        <v>37</v>
      </c>
      <c r="R816" t="s">
        <v>28</v>
      </c>
      <c r="S816">
        <v>5</v>
      </c>
    </row>
    <row r="817" spans="1:19">
      <c r="A817" t="s">
        <v>1161</v>
      </c>
      <c r="B817" s="2">
        <v>46145</v>
      </c>
      <c r="C817" t="s">
        <v>39</v>
      </c>
      <c r="D817" t="s">
        <v>40</v>
      </c>
      <c r="E817" t="s">
        <v>22</v>
      </c>
      <c r="F817">
        <v>39</v>
      </c>
      <c r="G817" t="s">
        <v>41</v>
      </c>
      <c r="H817" t="s">
        <v>42</v>
      </c>
      <c r="I817" t="s">
        <v>75</v>
      </c>
      <c r="J817" t="s">
        <v>76</v>
      </c>
      <c r="K817">
        <v>4</v>
      </c>
      <c r="L817">
        <v>399</v>
      </c>
      <c r="M817" s="3">
        <v>0.1</v>
      </c>
      <c r="N817">
        <v>1436.4</v>
      </c>
      <c r="O817">
        <v>880</v>
      </c>
      <c r="P817">
        <v>556.4</v>
      </c>
      <c r="Q817" t="s">
        <v>50</v>
      </c>
      <c r="R817" t="s">
        <v>51</v>
      </c>
      <c r="S817">
        <v>4</v>
      </c>
    </row>
    <row r="818" spans="1:19">
      <c r="A818" t="s">
        <v>1162</v>
      </c>
      <c r="B818" s="2">
        <v>45768</v>
      </c>
      <c r="C818" t="s">
        <v>150</v>
      </c>
      <c r="D818" t="s">
        <v>151</v>
      </c>
      <c r="E818" t="s">
        <v>22</v>
      </c>
      <c r="F818">
        <v>33</v>
      </c>
      <c r="G818" t="s">
        <v>81</v>
      </c>
      <c r="H818" t="s">
        <v>82</v>
      </c>
      <c r="I818" t="s">
        <v>43</v>
      </c>
      <c r="J818" t="s">
        <v>197</v>
      </c>
      <c r="K818">
        <v>2</v>
      </c>
      <c r="L818">
        <v>1799</v>
      </c>
      <c r="M818" s="3">
        <v>0.15</v>
      </c>
      <c r="N818">
        <v>3058.3</v>
      </c>
      <c r="O818">
        <v>2100</v>
      </c>
      <c r="P818">
        <v>958.3</v>
      </c>
      <c r="Q818" t="s">
        <v>69</v>
      </c>
      <c r="R818" t="s">
        <v>28</v>
      </c>
      <c r="S818">
        <v>4</v>
      </c>
    </row>
    <row r="819" spans="1:19">
      <c r="A819" t="s">
        <v>1163</v>
      </c>
      <c r="B819" s="2">
        <v>45759</v>
      </c>
      <c r="C819" t="s">
        <v>97</v>
      </c>
      <c r="D819" t="s">
        <v>98</v>
      </c>
      <c r="E819" t="s">
        <v>22</v>
      </c>
      <c r="F819">
        <v>23</v>
      </c>
      <c r="G819" t="s">
        <v>48</v>
      </c>
      <c r="H819" t="s">
        <v>42</v>
      </c>
      <c r="I819" t="s">
        <v>75</v>
      </c>
      <c r="J819" t="s">
        <v>76</v>
      </c>
      <c r="K819">
        <v>2</v>
      </c>
      <c r="L819">
        <v>399</v>
      </c>
      <c r="M819" s="3">
        <v>0</v>
      </c>
      <c r="N819">
        <v>798</v>
      </c>
      <c r="O819">
        <v>440</v>
      </c>
      <c r="P819">
        <v>358</v>
      </c>
      <c r="Q819" t="s">
        <v>69</v>
      </c>
      <c r="R819" t="s">
        <v>137</v>
      </c>
      <c r="S819">
        <v>4</v>
      </c>
    </row>
    <row r="820" spans="1:19">
      <c r="A820" t="s">
        <v>1164</v>
      </c>
      <c r="B820" s="2">
        <v>45992</v>
      </c>
      <c r="C820" t="s">
        <v>390</v>
      </c>
      <c r="D820" t="s">
        <v>391</v>
      </c>
      <c r="E820" t="s">
        <v>32</v>
      </c>
      <c r="F820">
        <v>27</v>
      </c>
      <c r="G820" t="s">
        <v>55</v>
      </c>
      <c r="H820" t="s">
        <v>34</v>
      </c>
      <c r="I820" t="s">
        <v>43</v>
      </c>
      <c r="J820" t="s">
        <v>95</v>
      </c>
      <c r="K820">
        <v>4</v>
      </c>
      <c r="L820">
        <v>2499</v>
      </c>
      <c r="M820" s="3">
        <v>0.2</v>
      </c>
      <c r="N820">
        <v>7996.8</v>
      </c>
      <c r="O820">
        <v>6000</v>
      </c>
      <c r="P820">
        <v>1996.8</v>
      </c>
      <c r="Q820" t="s">
        <v>27</v>
      </c>
      <c r="R820" t="s">
        <v>28</v>
      </c>
      <c r="S820">
        <v>5</v>
      </c>
    </row>
    <row r="821" spans="1:19">
      <c r="A821" t="s">
        <v>1165</v>
      </c>
      <c r="B821" s="2">
        <v>45864</v>
      </c>
      <c r="C821" t="s">
        <v>579</v>
      </c>
      <c r="D821" t="s">
        <v>145</v>
      </c>
      <c r="E821" t="s">
        <v>32</v>
      </c>
      <c r="F821">
        <v>22</v>
      </c>
      <c r="G821" t="s">
        <v>141</v>
      </c>
      <c r="H821" t="s">
        <v>142</v>
      </c>
      <c r="I821" t="s">
        <v>25</v>
      </c>
      <c r="J821" t="s">
        <v>26</v>
      </c>
      <c r="K821">
        <v>4</v>
      </c>
      <c r="L821">
        <v>2499</v>
      </c>
      <c r="M821" s="3">
        <v>0.15</v>
      </c>
      <c r="N821">
        <v>8496.6</v>
      </c>
      <c r="O821">
        <v>6400</v>
      </c>
      <c r="P821">
        <v>2096.6</v>
      </c>
      <c r="Q821" t="s">
        <v>37</v>
      </c>
      <c r="R821" t="s">
        <v>28</v>
      </c>
      <c r="S821">
        <v>4</v>
      </c>
    </row>
    <row r="822" spans="1:19">
      <c r="A822" t="s">
        <v>1166</v>
      </c>
      <c r="B822" s="2">
        <v>46217</v>
      </c>
      <c r="C822" t="s">
        <v>326</v>
      </c>
      <c r="D822" t="s">
        <v>327</v>
      </c>
      <c r="E822" t="s">
        <v>22</v>
      </c>
      <c r="F822">
        <v>33</v>
      </c>
      <c r="G822" t="s">
        <v>141</v>
      </c>
      <c r="H822" t="s">
        <v>142</v>
      </c>
      <c r="I822" t="s">
        <v>43</v>
      </c>
      <c r="J822" t="s">
        <v>197</v>
      </c>
      <c r="K822">
        <v>3</v>
      </c>
      <c r="L822">
        <v>1799</v>
      </c>
      <c r="M822" s="3">
        <v>0.2</v>
      </c>
      <c r="N822">
        <v>4317.6000000000004</v>
      </c>
      <c r="O822">
        <v>3150</v>
      </c>
      <c r="P822">
        <v>1167.5999999999999</v>
      </c>
      <c r="Q822" t="s">
        <v>69</v>
      </c>
      <c r="R822" t="s">
        <v>51</v>
      </c>
      <c r="S822">
        <v>1</v>
      </c>
    </row>
    <row r="823" spans="1:19">
      <c r="A823" t="s">
        <v>1167</v>
      </c>
      <c r="B823" s="2">
        <v>45980</v>
      </c>
      <c r="C823" t="s">
        <v>267</v>
      </c>
      <c r="D823" t="s">
        <v>268</v>
      </c>
      <c r="E823" t="s">
        <v>22</v>
      </c>
      <c r="F823">
        <v>35</v>
      </c>
      <c r="G823" t="s">
        <v>141</v>
      </c>
      <c r="H823" t="s">
        <v>142</v>
      </c>
      <c r="I823" t="s">
        <v>25</v>
      </c>
      <c r="J823" t="s">
        <v>56</v>
      </c>
      <c r="K823">
        <v>4</v>
      </c>
      <c r="L823">
        <v>899</v>
      </c>
      <c r="M823" s="3">
        <v>0.15</v>
      </c>
      <c r="N823">
        <v>3056.6</v>
      </c>
      <c r="O823">
        <v>2200</v>
      </c>
      <c r="P823">
        <v>856.6</v>
      </c>
      <c r="Q823" t="s">
        <v>66</v>
      </c>
      <c r="R823" t="s">
        <v>28</v>
      </c>
      <c r="S823">
        <v>1</v>
      </c>
    </row>
    <row r="824" spans="1:19">
      <c r="A824" t="s">
        <v>1168</v>
      </c>
      <c r="B824" s="2">
        <v>46161</v>
      </c>
      <c r="C824" t="s">
        <v>236</v>
      </c>
      <c r="D824" t="s">
        <v>237</v>
      </c>
      <c r="E824" t="s">
        <v>32</v>
      </c>
      <c r="F824">
        <v>34</v>
      </c>
      <c r="G824" t="s">
        <v>180</v>
      </c>
      <c r="H824" t="s">
        <v>181</v>
      </c>
      <c r="I824" t="s">
        <v>43</v>
      </c>
      <c r="J824" t="s">
        <v>95</v>
      </c>
      <c r="K824">
        <v>3</v>
      </c>
      <c r="L824">
        <v>2499</v>
      </c>
      <c r="M824" s="3">
        <v>0.05</v>
      </c>
      <c r="N824">
        <v>7122.15</v>
      </c>
      <c r="O824">
        <v>4500</v>
      </c>
      <c r="P824">
        <v>2622.15</v>
      </c>
      <c r="Q824" t="s">
        <v>66</v>
      </c>
      <c r="R824" t="s">
        <v>28</v>
      </c>
      <c r="S824">
        <v>4</v>
      </c>
    </row>
    <row r="825" spans="1:19">
      <c r="A825" t="s">
        <v>1169</v>
      </c>
      <c r="B825" s="2">
        <v>46210</v>
      </c>
      <c r="C825" t="s">
        <v>178</v>
      </c>
      <c r="D825" t="s">
        <v>179</v>
      </c>
      <c r="E825" t="s">
        <v>32</v>
      </c>
      <c r="F825">
        <v>29</v>
      </c>
      <c r="G825" t="s">
        <v>180</v>
      </c>
      <c r="H825" t="s">
        <v>181</v>
      </c>
      <c r="I825" t="s">
        <v>25</v>
      </c>
      <c r="J825" t="s">
        <v>56</v>
      </c>
      <c r="K825">
        <v>4</v>
      </c>
      <c r="L825">
        <v>899</v>
      </c>
      <c r="M825" s="3">
        <v>0.2</v>
      </c>
      <c r="N825">
        <v>2876.8</v>
      </c>
      <c r="O825">
        <v>2200</v>
      </c>
      <c r="P825">
        <v>676.8</v>
      </c>
      <c r="Q825" t="s">
        <v>50</v>
      </c>
      <c r="R825" t="s">
        <v>28</v>
      </c>
      <c r="S825">
        <v>5</v>
      </c>
    </row>
    <row r="826" spans="1:19">
      <c r="A826" t="s">
        <v>1170</v>
      </c>
      <c r="B826" s="2">
        <v>45927</v>
      </c>
      <c r="C826" t="s">
        <v>746</v>
      </c>
      <c r="D826" t="s">
        <v>747</v>
      </c>
      <c r="E826" t="s">
        <v>22</v>
      </c>
      <c r="F826">
        <v>20</v>
      </c>
      <c r="G826" t="s">
        <v>48</v>
      </c>
      <c r="H826" t="s">
        <v>42</v>
      </c>
      <c r="I826" t="s">
        <v>35</v>
      </c>
      <c r="J826" t="s">
        <v>108</v>
      </c>
      <c r="K826">
        <v>1</v>
      </c>
      <c r="L826">
        <v>699</v>
      </c>
      <c r="M826" s="3">
        <v>0.15</v>
      </c>
      <c r="N826">
        <v>594.15</v>
      </c>
      <c r="O826">
        <v>380</v>
      </c>
      <c r="P826">
        <v>214.15</v>
      </c>
      <c r="Q826" t="s">
        <v>66</v>
      </c>
      <c r="R826" t="s">
        <v>28</v>
      </c>
      <c r="S826">
        <v>4</v>
      </c>
    </row>
    <row r="827" spans="1:19">
      <c r="A827" t="s">
        <v>1171</v>
      </c>
      <c r="B827" s="2">
        <v>45686</v>
      </c>
      <c r="C827" t="s">
        <v>986</v>
      </c>
      <c r="D827" t="s">
        <v>987</v>
      </c>
      <c r="E827" t="s">
        <v>22</v>
      </c>
      <c r="F827">
        <v>41</v>
      </c>
      <c r="G827" t="s">
        <v>105</v>
      </c>
      <c r="H827" t="s">
        <v>105</v>
      </c>
      <c r="I827" t="s">
        <v>43</v>
      </c>
      <c r="J827" t="s">
        <v>44</v>
      </c>
      <c r="K827">
        <v>3</v>
      </c>
      <c r="L827">
        <v>1599</v>
      </c>
      <c r="M827" s="3">
        <v>0</v>
      </c>
      <c r="N827">
        <v>4797</v>
      </c>
      <c r="O827">
        <v>2850</v>
      </c>
      <c r="P827">
        <v>1947</v>
      </c>
      <c r="Q827" t="s">
        <v>50</v>
      </c>
      <c r="R827" t="s">
        <v>28</v>
      </c>
      <c r="S827">
        <v>3</v>
      </c>
    </row>
    <row r="828" spans="1:19">
      <c r="A828" t="s">
        <v>1172</v>
      </c>
      <c r="B828" s="2">
        <v>46047</v>
      </c>
      <c r="C828" t="s">
        <v>313</v>
      </c>
      <c r="D828" t="s">
        <v>72</v>
      </c>
      <c r="E828" t="s">
        <v>22</v>
      </c>
      <c r="F828">
        <v>45</v>
      </c>
      <c r="G828" t="s">
        <v>41</v>
      </c>
      <c r="H828" t="s">
        <v>42</v>
      </c>
      <c r="I828" t="s">
        <v>117</v>
      </c>
      <c r="J828" t="s">
        <v>152</v>
      </c>
      <c r="K828">
        <v>1</v>
      </c>
      <c r="L828">
        <v>899</v>
      </c>
      <c r="M828" s="3">
        <v>0.1</v>
      </c>
      <c r="N828">
        <v>809.1</v>
      </c>
      <c r="O828">
        <v>500</v>
      </c>
      <c r="P828">
        <v>309.10000000000002</v>
      </c>
      <c r="Q828" t="s">
        <v>69</v>
      </c>
      <c r="R828" t="s">
        <v>28</v>
      </c>
      <c r="S828">
        <v>3</v>
      </c>
    </row>
    <row r="829" spans="1:19">
      <c r="A829" t="s">
        <v>1173</v>
      </c>
      <c r="B829" s="2">
        <v>45911</v>
      </c>
      <c r="C829" t="s">
        <v>270</v>
      </c>
      <c r="D829" t="s">
        <v>271</v>
      </c>
      <c r="E829" t="s">
        <v>22</v>
      </c>
      <c r="F829">
        <v>51</v>
      </c>
      <c r="G829" t="s">
        <v>48</v>
      </c>
      <c r="H829" t="s">
        <v>42</v>
      </c>
      <c r="I829" t="s">
        <v>163</v>
      </c>
      <c r="J829" t="s">
        <v>214</v>
      </c>
      <c r="K829">
        <v>1</v>
      </c>
      <c r="L829">
        <v>1499</v>
      </c>
      <c r="M829" s="3">
        <v>0.05</v>
      </c>
      <c r="N829">
        <v>1424.05</v>
      </c>
      <c r="O829">
        <v>900</v>
      </c>
      <c r="P829">
        <v>524.04999999999995</v>
      </c>
      <c r="Q829" t="s">
        <v>27</v>
      </c>
      <c r="R829" t="s">
        <v>28</v>
      </c>
      <c r="S829">
        <v>5</v>
      </c>
    </row>
    <row r="830" spans="1:19">
      <c r="A830" t="s">
        <v>1174</v>
      </c>
      <c r="B830" s="2">
        <v>45775</v>
      </c>
      <c r="C830" t="s">
        <v>801</v>
      </c>
      <c r="D830" t="s">
        <v>225</v>
      </c>
      <c r="E830" t="s">
        <v>32</v>
      </c>
      <c r="F830">
        <v>55</v>
      </c>
      <c r="G830" t="s">
        <v>41</v>
      </c>
      <c r="H830" t="s">
        <v>42</v>
      </c>
      <c r="I830" t="s">
        <v>117</v>
      </c>
      <c r="J830" t="s">
        <v>238</v>
      </c>
      <c r="K830">
        <v>1</v>
      </c>
      <c r="L830">
        <v>2499</v>
      </c>
      <c r="M830" s="3">
        <v>0.1</v>
      </c>
      <c r="N830">
        <v>2249.1</v>
      </c>
      <c r="O830">
        <v>1500</v>
      </c>
      <c r="P830">
        <v>749.1</v>
      </c>
      <c r="Q830" t="s">
        <v>37</v>
      </c>
      <c r="R830" t="s">
        <v>28</v>
      </c>
      <c r="S830">
        <v>5</v>
      </c>
    </row>
    <row r="831" spans="1:19">
      <c r="A831" t="s">
        <v>1175</v>
      </c>
      <c r="B831" s="2">
        <v>46239</v>
      </c>
      <c r="C831" t="s">
        <v>532</v>
      </c>
      <c r="D831" t="s">
        <v>533</v>
      </c>
      <c r="E831" t="s">
        <v>22</v>
      </c>
      <c r="F831">
        <v>32</v>
      </c>
      <c r="G831" t="s">
        <v>180</v>
      </c>
      <c r="H831" t="s">
        <v>181</v>
      </c>
      <c r="I831" t="s">
        <v>25</v>
      </c>
      <c r="J831" t="s">
        <v>68</v>
      </c>
      <c r="K831">
        <v>4</v>
      </c>
      <c r="L831">
        <v>2999</v>
      </c>
      <c r="M831" s="3">
        <v>0.15</v>
      </c>
      <c r="N831">
        <v>10196.6</v>
      </c>
      <c r="O831">
        <v>7600</v>
      </c>
      <c r="P831">
        <v>2596.6</v>
      </c>
      <c r="Q831" t="s">
        <v>50</v>
      </c>
      <c r="R831" t="s">
        <v>77</v>
      </c>
      <c r="S831">
        <v>3</v>
      </c>
    </row>
    <row r="832" spans="1:19">
      <c r="A832" t="s">
        <v>1176</v>
      </c>
      <c r="B832" s="2">
        <v>45680</v>
      </c>
      <c r="C832" t="s">
        <v>113</v>
      </c>
      <c r="D832" t="s">
        <v>114</v>
      </c>
      <c r="E832" t="s">
        <v>32</v>
      </c>
      <c r="F832">
        <v>18</v>
      </c>
      <c r="G832" t="s">
        <v>115</v>
      </c>
      <c r="H832" t="s">
        <v>116</v>
      </c>
      <c r="I832" t="s">
        <v>117</v>
      </c>
      <c r="J832" t="s">
        <v>238</v>
      </c>
      <c r="K832">
        <v>4</v>
      </c>
      <c r="L832">
        <v>2499</v>
      </c>
      <c r="M832" s="3">
        <v>0.2</v>
      </c>
      <c r="N832">
        <v>7996.8</v>
      </c>
      <c r="O832">
        <v>6000</v>
      </c>
      <c r="P832">
        <v>1996.8</v>
      </c>
      <c r="Q832" t="s">
        <v>37</v>
      </c>
      <c r="R832" t="s">
        <v>28</v>
      </c>
      <c r="S832">
        <v>4</v>
      </c>
    </row>
    <row r="833" spans="1:19">
      <c r="A833" t="s">
        <v>1177</v>
      </c>
      <c r="B833" s="2">
        <v>45760</v>
      </c>
      <c r="C833" t="s">
        <v>110</v>
      </c>
      <c r="D833" t="s">
        <v>111</v>
      </c>
      <c r="E833" t="s">
        <v>22</v>
      </c>
      <c r="F833">
        <v>47</v>
      </c>
      <c r="G833" t="s">
        <v>48</v>
      </c>
      <c r="H833" t="s">
        <v>42</v>
      </c>
      <c r="I833" t="s">
        <v>75</v>
      </c>
      <c r="J833" t="s">
        <v>86</v>
      </c>
      <c r="K833">
        <v>1</v>
      </c>
      <c r="L833">
        <v>499</v>
      </c>
      <c r="M833" s="3">
        <v>0.15</v>
      </c>
      <c r="N833">
        <v>424.15</v>
      </c>
      <c r="O833">
        <v>300</v>
      </c>
      <c r="P833">
        <v>124.15</v>
      </c>
      <c r="Q833" t="s">
        <v>27</v>
      </c>
      <c r="R833" t="s">
        <v>28</v>
      </c>
      <c r="S833">
        <v>5</v>
      </c>
    </row>
    <row r="834" spans="1:19">
      <c r="A834" t="s">
        <v>1178</v>
      </c>
      <c r="B834" s="2">
        <v>46104</v>
      </c>
      <c r="C834" t="s">
        <v>175</v>
      </c>
      <c r="D834" t="s">
        <v>176</v>
      </c>
      <c r="E834" t="s">
        <v>32</v>
      </c>
      <c r="F834">
        <v>29</v>
      </c>
      <c r="G834" t="s">
        <v>60</v>
      </c>
      <c r="H834" t="s">
        <v>61</v>
      </c>
      <c r="I834" t="s">
        <v>43</v>
      </c>
      <c r="J834" t="s">
        <v>95</v>
      </c>
      <c r="K834">
        <v>3</v>
      </c>
      <c r="L834">
        <v>2499</v>
      </c>
      <c r="M834" s="3">
        <v>0.1</v>
      </c>
      <c r="N834">
        <v>6747.3</v>
      </c>
      <c r="O834">
        <v>4500</v>
      </c>
      <c r="P834">
        <v>2247.3000000000002</v>
      </c>
      <c r="Q834" t="s">
        <v>27</v>
      </c>
      <c r="R834" t="s">
        <v>28</v>
      </c>
      <c r="S834">
        <v>1</v>
      </c>
    </row>
    <row r="835" spans="1:19">
      <c r="A835" t="s">
        <v>1179</v>
      </c>
      <c r="B835" s="2">
        <v>45706</v>
      </c>
      <c r="C835" t="s">
        <v>467</v>
      </c>
      <c r="D835" t="s">
        <v>322</v>
      </c>
      <c r="E835" t="s">
        <v>32</v>
      </c>
      <c r="F835">
        <v>41</v>
      </c>
      <c r="G835" t="s">
        <v>55</v>
      </c>
      <c r="H835" t="s">
        <v>34</v>
      </c>
      <c r="I835" t="s">
        <v>43</v>
      </c>
      <c r="J835" t="s">
        <v>49</v>
      </c>
      <c r="K835">
        <v>3</v>
      </c>
      <c r="L835">
        <v>799</v>
      </c>
      <c r="M835" s="3">
        <v>0.1</v>
      </c>
      <c r="N835">
        <v>2157.3000000000002</v>
      </c>
      <c r="O835">
        <v>1350</v>
      </c>
      <c r="P835">
        <v>807.3</v>
      </c>
      <c r="Q835" t="s">
        <v>37</v>
      </c>
      <c r="R835" t="s">
        <v>51</v>
      </c>
      <c r="S835">
        <v>4</v>
      </c>
    </row>
    <row r="836" spans="1:19">
      <c r="A836" t="s">
        <v>1180</v>
      </c>
      <c r="B836" s="2">
        <v>45755</v>
      </c>
      <c r="C836" t="s">
        <v>479</v>
      </c>
      <c r="D836" t="s">
        <v>480</v>
      </c>
      <c r="E836" t="s">
        <v>22</v>
      </c>
      <c r="F836">
        <v>29</v>
      </c>
      <c r="G836" t="s">
        <v>146</v>
      </c>
      <c r="H836" t="s">
        <v>61</v>
      </c>
      <c r="I836" t="s">
        <v>75</v>
      </c>
      <c r="J836" t="s">
        <v>106</v>
      </c>
      <c r="K836">
        <v>1</v>
      </c>
      <c r="L836">
        <v>899</v>
      </c>
      <c r="M836" s="3">
        <v>0.2</v>
      </c>
      <c r="N836">
        <v>719.2</v>
      </c>
      <c r="O836">
        <v>600</v>
      </c>
      <c r="P836">
        <v>119.2</v>
      </c>
      <c r="Q836" t="s">
        <v>50</v>
      </c>
      <c r="R836" t="s">
        <v>28</v>
      </c>
      <c r="S836">
        <v>1</v>
      </c>
    </row>
    <row r="837" spans="1:19">
      <c r="A837" t="s">
        <v>1181</v>
      </c>
      <c r="B837" s="2">
        <v>45872</v>
      </c>
      <c r="C837" t="s">
        <v>292</v>
      </c>
      <c r="D837" t="s">
        <v>293</v>
      </c>
      <c r="E837" t="s">
        <v>32</v>
      </c>
      <c r="F837">
        <v>29</v>
      </c>
      <c r="G837" t="s">
        <v>180</v>
      </c>
      <c r="H837" t="s">
        <v>181</v>
      </c>
      <c r="I837" t="s">
        <v>35</v>
      </c>
      <c r="J837" t="s">
        <v>108</v>
      </c>
      <c r="K837">
        <v>4</v>
      </c>
      <c r="L837">
        <v>699</v>
      </c>
      <c r="M837" s="3">
        <v>0.15</v>
      </c>
      <c r="N837">
        <v>2376.6</v>
      </c>
      <c r="O837">
        <v>1520</v>
      </c>
      <c r="P837">
        <v>856.6</v>
      </c>
      <c r="Q837" t="s">
        <v>37</v>
      </c>
      <c r="R837" t="s">
        <v>137</v>
      </c>
      <c r="S837">
        <v>3</v>
      </c>
    </row>
    <row r="838" spans="1:19">
      <c r="A838" t="s">
        <v>1182</v>
      </c>
      <c r="B838" s="2">
        <v>45978</v>
      </c>
      <c r="C838" t="s">
        <v>326</v>
      </c>
      <c r="D838" t="s">
        <v>327</v>
      </c>
      <c r="E838" t="s">
        <v>22</v>
      </c>
      <c r="F838">
        <v>33</v>
      </c>
      <c r="G838" t="s">
        <v>141</v>
      </c>
      <c r="H838" t="s">
        <v>142</v>
      </c>
      <c r="I838" t="s">
        <v>43</v>
      </c>
      <c r="J838" t="s">
        <v>44</v>
      </c>
      <c r="K838">
        <v>4</v>
      </c>
      <c r="L838">
        <v>1599</v>
      </c>
      <c r="M838" s="3">
        <v>0.2</v>
      </c>
      <c r="N838">
        <v>5116.8</v>
      </c>
      <c r="O838">
        <v>3800</v>
      </c>
      <c r="P838">
        <v>1316.8</v>
      </c>
      <c r="Q838" t="s">
        <v>27</v>
      </c>
      <c r="R838" t="s">
        <v>28</v>
      </c>
      <c r="S838">
        <v>3</v>
      </c>
    </row>
    <row r="839" spans="1:19">
      <c r="A839" t="s">
        <v>1183</v>
      </c>
      <c r="B839" s="2">
        <v>46186</v>
      </c>
      <c r="C839" t="s">
        <v>365</v>
      </c>
      <c r="D839" t="s">
        <v>366</v>
      </c>
      <c r="E839" t="s">
        <v>22</v>
      </c>
      <c r="F839">
        <v>54</v>
      </c>
      <c r="G839" t="s">
        <v>93</v>
      </c>
      <c r="H839" t="s">
        <v>94</v>
      </c>
      <c r="I839" t="s">
        <v>35</v>
      </c>
      <c r="J839" t="s">
        <v>136</v>
      </c>
      <c r="K839">
        <v>2</v>
      </c>
      <c r="L839">
        <v>799</v>
      </c>
      <c r="M839" s="3">
        <v>0</v>
      </c>
      <c r="N839">
        <v>1598</v>
      </c>
      <c r="O839">
        <v>900</v>
      </c>
      <c r="P839">
        <v>698</v>
      </c>
      <c r="Q839" t="s">
        <v>27</v>
      </c>
      <c r="R839" t="s">
        <v>28</v>
      </c>
      <c r="S839">
        <v>2</v>
      </c>
    </row>
    <row r="840" spans="1:19">
      <c r="A840" t="s">
        <v>1184</v>
      </c>
      <c r="B840" s="2">
        <v>45719</v>
      </c>
      <c r="C840" t="s">
        <v>1185</v>
      </c>
      <c r="D840" t="s">
        <v>437</v>
      </c>
      <c r="E840" t="s">
        <v>22</v>
      </c>
      <c r="F840">
        <v>49</v>
      </c>
      <c r="G840" t="s">
        <v>23</v>
      </c>
      <c r="H840" t="s">
        <v>24</v>
      </c>
      <c r="I840" t="s">
        <v>43</v>
      </c>
      <c r="J840" t="s">
        <v>197</v>
      </c>
      <c r="K840">
        <v>4</v>
      </c>
      <c r="L840">
        <v>1799</v>
      </c>
      <c r="M840" s="3">
        <v>0.2</v>
      </c>
      <c r="N840">
        <v>5756.8</v>
      </c>
      <c r="O840">
        <v>4200</v>
      </c>
      <c r="P840">
        <v>1556.8</v>
      </c>
      <c r="Q840" t="s">
        <v>50</v>
      </c>
      <c r="R840" t="s">
        <v>28</v>
      </c>
      <c r="S840">
        <v>4</v>
      </c>
    </row>
    <row r="841" spans="1:19">
      <c r="A841" t="s">
        <v>1186</v>
      </c>
      <c r="B841" s="2">
        <v>46103</v>
      </c>
      <c r="C841" t="s">
        <v>354</v>
      </c>
      <c r="D841" t="s">
        <v>339</v>
      </c>
      <c r="E841" t="s">
        <v>32</v>
      </c>
      <c r="F841">
        <v>25</v>
      </c>
      <c r="G841" t="s">
        <v>115</v>
      </c>
      <c r="H841" t="s">
        <v>116</v>
      </c>
      <c r="I841" t="s">
        <v>43</v>
      </c>
      <c r="J841" t="s">
        <v>281</v>
      </c>
      <c r="K841">
        <v>2</v>
      </c>
      <c r="L841">
        <v>2999</v>
      </c>
      <c r="M841" s="3">
        <v>0.1</v>
      </c>
      <c r="N841">
        <v>5398.2</v>
      </c>
      <c r="O841">
        <v>3600</v>
      </c>
      <c r="P841">
        <v>1798.2</v>
      </c>
      <c r="Q841" t="s">
        <v>66</v>
      </c>
      <c r="R841" t="s">
        <v>28</v>
      </c>
      <c r="S841">
        <v>1</v>
      </c>
    </row>
    <row r="842" spans="1:19">
      <c r="A842" t="s">
        <v>1187</v>
      </c>
      <c r="B842" s="2">
        <v>45822</v>
      </c>
      <c r="C842" t="s">
        <v>413</v>
      </c>
      <c r="D842" t="s">
        <v>414</v>
      </c>
      <c r="E842" t="s">
        <v>22</v>
      </c>
      <c r="F842">
        <v>42</v>
      </c>
      <c r="G842" t="s">
        <v>33</v>
      </c>
      <c r="H842" t="s">
        <v>34</v>
      </c>
      <c r="I842" t="s">
        <v>163</v>
      </c>
      <c r="J842" t="s">
        <v>234</v>
      </c>
      <c r="K842">
        <v>3</v>
      </c>
      <c r="L842">
        <v>999</v>
      </c>
      <c r="M842" s="3">
        <v>0.1</v>
      </c>
      <c r="N842">
        <v>2697.3</v>
      </c>
      <c r="O842">
        <v>1800</v>
      </c>
      <c r="P842">
        <v>897.3</v>
      </c>
      <c r="Q842" t="s">
        <v>37</v>
      </c>
      <c r="R842" t="s">
        <v>28</v>
      </c>
      <c r="S842">
        <v>2</v>
      </c>
    </row>
    <row r="843" spans="1:19">
      <c r="A843" t="s">
        <v>1188</v>
      </c>
      <c r="B843" s="2">
        <v>45854</v>
      </c>
      <c r="C843" t="s">
        <v>128</v>
      </c>
      <c r="D843" t="s">
        <v>129</v>
      </c>
      <c r="E843" t="s">
        <v>22</v>
      </c>
      <c r="F843">
        <v>42</v>
      </c>
      <c r="G843" t="s">
        <v>105</v>
      </c>
      <c r="H843" t="s">
        <v>105</v>
      </c>
      <c r="I843" t="s">
        <v>43</v>
      </c>
      <c r="J843" t="s">
        <v>281</v>
      </c>
      <c r="K843">
        <v>1</v>
      </c>
      <c r="L843">
        <v>2999</v>
      </c>
      <c r="M843" s="3">
        <v>0.05</v>
      </c>
      <c r="N843">
        <v>2849.05</v>
      </c>
      <c r="O843">
        <v>1800</v>
      </c>
      <c r="P843">
        <v>1049.05</v>
      </c>
      <c r="Q843" t="s">
        <v>69</v>
      </c>
      <c r="R843" t="s">
        <v>28</v>
      </c>
      <c r="S843">
        <v>3</v>
      </c>
    </row>
    <row r="844" spans="1:19">
      <c r="A844" t="s">
        <v>1189</v>
      </c>
      <c r="B844" s="2">
        <v>45695</v>
      </c>
      <c r="C844" t="s">
        <v>144</v>
      </c>
      <c r="D844" t="s">
        <v>145</v>
      </c>
      <c r="E844" t="s">
        <v>32</v>
      </c>
      <c r="F844">
        <v>37</v>
      </c>
      <c r="G844" t="s">
        <v>146</v>
      </c>
      <c r="H844" t="s">
        <v>61</v>
      </c>
      <c r="I844" t="s">
        <v>35</v>
      </c>
      <c r="J844" t="s">
        <v>36</v>
      </c>
      <c r="K844">
        <v>4</v>
      </c>
      <c r="L844">
        <v>599</v>
      </c>
      <c r="M844" s="3">
        <v>0.15</v>
      </c>
      <c r="N844">
        <v>2036.6</v>
      </c>
      <c r="O844">
        <v>1280</v>
      </c>
      <c r="P844">
        <v>756.6</v>
      </c>
      <c r="Q844" t="s">
        <v>27</v>
      </c>
      <c r="R844" t="s">
        <v>28</v>
      </c>
      <c r="S844">
        <v>2</v>
      </c>
    </row>
    <row r="845" spans="1:19">
      <c r="A845" t="s">
        <v>1190</v>
      </c>
      <c r="B845" s="2">
        <v>45838</v>
      </c>
      <c r="C845" t="s">
        <v>186</v>
      </c>
      <c r="D845" t="s">
        <v>187</v>
      </c>
      <c r="E845" t="s">
        <v>22</v>
      </c>
      <c r="F845">
        <v>42</v>
      </c>
      <c r="G845" t="s">
        <v>60</v>
      </c>
      <c r="H845" t="s">
        <v>61</v>
      </c>
      <c r="I845" t="s">
        <v>43</v>
      </c>
      <c r="J845" t="s">
        <v>197</v>
      </c>
      <c r="K845">
        <v>3</v>
      </c>
      <c r="L845">
        <v>1799</v>
      </c>
      <c r="M845" s="3">
        <v>0.2</v>
      </c>
      <c r="N845">
        <v>4317.6000000000004</v>
      </c>
      <c r="O845">
        <v>3150</v>
      </c>
      <c r="P845">
        <v>1167.5999999999999</v>
      </c>
      <c r="Q845" t="s">
        <v>69</v>
      </c>
      <c r="R845" t="s">
        <v>51</v>
      </c>
      <c r="S845">
        <v>4</v>
      </c>
    </row>
    <row r="846" spans="1:19">
      <c r="A846" t="s">
        <v>1191</v>
      </c>
      <c r="B846" s="2">
        <v>45963</v>
      </c>
      <c r="C846" t="s">
        <v>113</v>
      </c>
      <c r="D846" t="s">
        <v>114</v>
      </c>
      <c r="E846" t="s">
        <v>32</v>
      </c>
      <c r="F846">
        <v>18</v>
      </c>
      <c r="G846" t="s">
        <v>115</v>
      </c>
      <c r="H846" t="s">
        <v>116</v>
      </c>
      <c r="I846" t="s">
        <v>25</v>
      </c>
      <c r="J846" t="s">
        <v>68</v>
      </c>
      <c r="K846">
        <v>1</v>
      </c>
      <c r="L846">
        <v>2999</v>
      </c>
      <c r="M846" s="3">
        <v>0.1</v>
      </c>
      <c r="N846">
        <v>2699.1</v>
      </c>
      <c r="O846">
        <v>1900</v>
      </c>
      <c r="P846">
        <v>799.1</v>
      </c>
      <c r="Q846" t="s">
        <v>69</v>
      </c>
      <c r="R846" t="s">
        <v>77</v>
      </c>
      <c r="S846">
        <v>4</v>
      </c>
    </row>
    <row r="847" spans="1:19">
      <c r="A847" t="s">
        <v>1192</v>
      </c>
      <c r="B847" s="2">
        <v>45801</v>
      </c>
      <c r="C847" t="s">
        <v>663</v>
      </c>
      <c r="D847" t="s">
        <v>382</v>
      </c>
      <c r="E847" t="s">
        <v>32</v>
      </c>
      <c r="F847">
        <v>53</v>
      </c>
      <c r="G847" t="s">
        <v>73</v>
      </c>
      <c r="H847" t="s">
        <v>74</v>
      </c>
      <c r="I847" t="s">
        <v>117</v>
      </c>
      <c r="J847" t="s">
        <v>118</v>
      </c>
      <c r="K847">
        <v>1</v>
      </c>
      <c r="L847">
        <v>999</v>
      </c>
      <c r="M847" s="3">
        <v>0.15</v>
      </c>
      <c r="N847">
        <v>849.15</v>
      </c>
      <c r="O847">
        <v>550</v>
      </c>
      <c r="P847">
        <v>299.14999999999998</v>
      </c>
      <c r="Q847" t="s">
        <v>27</v>
      </c>
      <c r="R847" t="s">
        <v>28</v>
      </c>
      <c r="S847">
        <v>5</v>
      </c>
    </row>
    <row r="848" spans="1:19">
      <c r="A848" t="s">
        <v>1193</v>
      </c>
      <c r="B848" s="2">
        <v>45750</v>
      </c>
      <c r="C848" t="s">
        <v>562</v>
      </c>
      <c r="D848" t="s">
        <v>563</v>
      </c>
      <c r="E848" t="s">
        <v>22</v>
      </c>
      <c r="F848">
        <v>27</v>
      </c>
      <c r="G848" t="s">
        <v>180</v>
      </c>
      <c r="H848" t="s">
        <v>181</v>
      </c>
      <c r="I848" t="s">
        <v>35</v>
      </c>
      <c r="J848" t="s">
        <v>108</v>
      </c>
      <c r="K848">
        <v>3</v>
      </c>
      <c r="L848">
        <v>699</v>
      </c>
      <c r="M848" s="3">
        <v>0.15</v>
      </c>
      <c r="N848">
        <v>1782.45</v>
      </c>
      <c r="O848">
        <v>1140</v>
      </c>
      <c r="P848">
        <v>642.45000000000005</v>
      </c>
      <c r="Q848" t="s">
        <v>27</v>
      </c>
      <c r="R848" t="s">
        <v>28</v>
      </c>
      <c r="S848">
        <v>3</v>
      </c>
    </row>
    <row r="849" spans="1:19">
      <c r="A849" t="s">
        <v>1194</v>
      </c>
      <c r="B849" s="2">
        <v>46091</v>
      </c>
      <c r="C849" t="s">
        <v>247</v>
      </c>
      <c r="D849" t="s">
        <v>248</v>
      </c>
      <c r="E849" t="s">
        <v>32</v>
      </c>
      <c r="F849">
        <v>35</v>
      </c>
      <c r="G849" t="s">
        <v>33</v>
      </c>
      <c r="H849" t="s">
        <v>34</v>
      </c>
      <c r="I849" t="s">
        <v>75</v>
      </c>
      <c r="J849" t="s">
        <v>86</v>
      </c>
      <c r="K849">
        <v>4</v>
      </c>
      <c r="L849">
        <v>499</v>
      </c>
      <c r="M849" s="3">
        <v>0.05</v>
      </c>
      <c r="N849">
        <v>1896.2</v>
      </c>
      <c r="O849">
        <v>1200</v>
      </c>
      <c r="P849">
        <v>696.2</v>
      </c>
      <c r="Q849" t="s">
        <v>27</v>
      </c>
      <c r="R849" t="s">
        <v>28</v>
      </c>
      <c r="S849">
        <v>2</v>
      </c>
    </row>
    <row r="850" spans="1:19">
      <c r="A850" t="s">
        <v>1195</v>
      </c>
      <c r="B850" s="2">
        <v>45918</v>
      </c>
      <c r="C850" t="s">
        <v>585</v>
      </c>
      <c r="D850" t="s">
        <v>586</v>
      </c>
      <c r="E850" t="s">
        <v>32</v>
      </c>
      <c r="F850">
        <v>31</v>
      </c>
      <c r="G850" t="s">
        <v>48</v>
      </c>
      <c r="H850" t="s">
        <v>42</v>
      </c>
      <c r="I850" t="s">
        <v>43</v>
      </c>
      <c r="J850" t="s">
        <v>197</v>
      </c>
      <c r="K850">
        <v>4</v>
      </c>
      <c r="L850">
        <v>1799</v>
      </c>
      <c r="M850" s="3">
        <v>0.15</v>
      </c>
      <c r="N850">
        <v>6116.6</v>
      </c>
      <c r="O850">
        <v>4200</v>
      </c>
      <c r="P850">
        <v>1916.6</v>
      </c>
      <c r="Q850" t="s">
        <v>50</v>
      </c>
      <c r="R850" t="s">
        <v>28</v>
      </c>
      <c r="S850">
        <v>5</v>
      </c>
    </row>
    <row r="851" spans="1:19">
      <c r="A851" t="s">
        <v>1196</v>
      </c>
      <c r="B851" s="2">
        <v>46216</v>
      </c>
      <c r="C851" t="s">
        <v>862</v>
      </c>
      <c r="D851" t="s">
        <v>863</v>
      </c>
      <c r="E851" t="s">
        <v>32</v>
      </c>
      <c r="F851">
        <v>53</v>
      </c>
      <c r="G851" t="s">
        <v>41</v>
      </c>
      <c r="H851" t="s">
        <v>42</v>
      </c>
      <c r="I851" t="s">
        <v>117</v>
      </c>
      <c r="J851" t="s">
        <v>238</v>
      </c>
      <c r="K851">
        <v>1</v>
      </c>
      <c r="L851">
        <v>2499</v>
      </c>
      <c r="M851" s="3">
        <v>0.1</v>
      </c>
      <c r="N851">
        <v>2249.1</v>
      </c>
      <c r="O851">
        <v>1500</v>
      </c>
      <c r="P851">
        <v>749.1</v>
      </c>
      <c r="Q851" t="s">
        <v>66</v>
      </c>
      <c r="R851" t="s">
        <v>28</v>
      </c>
      <c r="S851">
        <v>2</v>
      </c>
    </row>
    <row r="852" spans="1:19">
      <c r="A852" t="s">
        <v>1197</v>
      </c>
      <c r="B852" s="2">
        <v>46034</v>
      </c>
      <c r="C852" t="s">
        <v>120</v>
      </c>
      <c r="D852" t="s">
        <v>121</v>
      </c>
      <c r="E852" t="s">
        <v>32</v>
      </c>
      <c r="F852">
        <v>35</v>
      </c>
      <c r="G852" t="s">
        <v>93</v>
      </c>
      <c r="H852" t="s">
        <v>94</v>
      </c>
      <c r="I852" t="s">
        <v>25</v>
      </c>
      <c r="J852" t="s">
        <v>62</v>
      </c>
      <c r="K852">
        <v>3</v>
      </c>
      <c r="L852">
        <v>1299</v>
      </c>
      <c r="M852" s="3">
        <v>0.15</v>
      </c>
      <c r="N852">
        <v>3312.45</v>
      </c>
      <c r="O852">
        <v>2400</v>
      </c>
      <c r="P852">
        <v>912.45</v>
      </c>
      <c r="Q852" t="s">
        <v>37</v>
      </c>
      <c r="R852" t="s">
        <v>28</v>
      </c>
      <c r="S852">
        <v>5</v>
      </c>
    </row>
    <row r="853" spans="1:19">
      <c r="A853" t="s">
        <v>1198</v>
      </c>
      <c r="B853" s="2">
        <v>45917</v>
      </c>
      <c r="C853" t="s">
        <v>236</v>
      </c>
      <c r="D853" t="s">
        <v>237</v>
      </c>
      <c r="E853" t="s">
        <v>32</v>
      </c>
      <c r="F853">
        <v>34</v>
      </c>
      <c r="G853" t="s">
        <v>180</v>
      </c>
      <c r="H853" t="s">
        <v>181</v>
      </c>
      <c r="I853" t="s">
        <v>117</v>
      </c>
      <c r="J853" t="s">
        <v>152</v>
      </c>
      <c r="K853">
        <v>1</v>
      </c>
      <c r="L853">
        <v>899</v>
      </c>
      <c r="M853" s="3">
        <v>0.05</v>
      </c>
      <c r="N853">
        <v>854.05</v>
      </c>
      <c r="O853">
        <v>500</v>
      </c>
      <c r="P853">
        <v>354.05</v>
      </c>
      <c r="Q853" t="s">
        <v>50</v>
      </c>
      <c r="R853" t="s">
        <v>28</v>
      </c>
      <c r="S853">
        <v>3</v>
      </c>
    </row>
    <row r="854" spans="1:19">
      <c r="A854" t="s">
        <v>1199</v>
      </c>
      <c r="B854" s="2">
        <v>46055</v>
      </c>
      <c r="C854" t="s">
        <v>243</v>
      </c>
      <c r="D854" t="s">
        <v>244</v>
      </c>
      <c r="E854" t="s">
        <v>22</v>
      </c>
      <c r="F854">
        <v>38</v>
      </c>
      <c r="G854" t="s">
        <v>23</v>
      </c>
      <c r="H854" t="s">
        <v>24</v>
      </c>
      <c r="I854" t="s">
        <v>35</v>
      </c>
      <c r="J854" t="s">
        <v>126</v>
      </c>
      <c r="K854">
        <v>2</v>
      </c>
      <c r="L854">
        <v>1499</v>
      </c>
      <c r="M854" s="3">
        <v>0.15</v>
      </c>
      <c r="N854">
        <v>2548.3000000000002</v>
      </c>
      <c r="O854">
        <v>1700</v>
      </c>
      <c r="P854">
        <v>848.3</v>
      </c>
      <c r="Q854" t="s">
        <v>69</v>
      </c>
      <c r="R854" t="s">
        <v>77</v>
      </c>
      <c r="S854">
        <v>4</v>
      </c>
    </row>
    <row r="855" spans="1:19">
      <c r="A855" t="s">
        <v>1200</v>
      </c>
      <c r="B855" s="2">
        <v>45962</v>
      </c>
      <c r="C855" t="s">
        <v>273</v>
      </c>
      <c r="D855" t="s">
        <v>274</v>
      </c>
      <c r="E855" t="s">
        <v>22</v>
      </c>
      <c r="F855">
        <v>41</v>
      </c>
      <c r="G855" t="s">
        <v>105</v>
      </c>
      <c r="H855" t="s">
        <v>105</v>
      </c>
      <c r="I855" t="s">
        <v>43</v>
      </c>
      <c r="J855" t="s">
        <v>44</v>
      </c>
      <c r="K855">
        <v>1</v>
      </c>
      <c r="L855">
        <v>1599</v>
      </c>
      <c r="M855" s="3">
        <v>0.05</v>
      </c>
      <c r="N855">
        <v>1519.05</v>
      </c>
      <c r="O855">
        <v>950</v>
      </c>
      <c r="P855">
        <v>569.04999999999995</v>
      </c>
      <c r="Q855" t="s">
        <v>27</v>
      </c>
      <c r="R855" t="s">
        <v>137</v>
      </c>
      <c r="S855">
        <v>2</v>
      </c>
    </row>
    <row r="856" spans="1:19">
      <c r="A856" t="s">
        <v>1201</v>
      </c>
      <c r="B856" s="2">
        <v>45692</v>
      </c>
      <c r="C856" t="s">
        <v>345</v>
      </c>
      <c r="D856" t="s">
        <v>346</v>
      </c>
      <c r="E856" t="s">
        <v>32</v>
      </c>
      <c r="F856">
        <v>33</v>
      </c>
      <c r="G856" t="s">
        <v>73</v>
      </c>
      <c r="H856" t="s">
        <v>74</v>
      </c>
      <c r="I856" t="s">
        <v>75</v>
      </c>
      <c r="J856" t="s">
        <v>76</v>
      </c>
      <c r="K856">
        <v>3</v>
      </c>
      <c r="L856">
        <v>399</v>
      </c>
      <c r="M856" s="3">
        <v>0.15</v>
      </c>
      <c r="N856">
        <v>1017.45</v>
      </c>
      <c r="O856">
        <v>660</v>
      </c>
      <c r="P856">
        <v>357.45</v>
      </c>
      <c r="Q856" t="s">
        <v>37</v>
      </c>
      <c r="R856" t="s">
        <v>137</v>
      </c>
      <c r="S856">
        <v>4</v>
      </c>
    </row>
    <row r="857" spans="1:19">
      <c r="A857" t="s">
        <v>1202</v>
      </c>
      <c r="B857" s="2">
        <v>46090</v>
      </c>
      <c r="C857" t="s">
        <v>224</v>
      </c>
      <c r="D857" t="s">
        <v>225</v>
      </c>
      <c r="E857" t="s">
        <v>32</v>
      </c>
      <c r="F857">
        <v>19</v>
      </c>
      <c r="G857" t="s">
        <v>33</v>
      </c>
      <c r="H857" t="s">
        <v>34</v>
      </c>
      <c r="I857" t="s">
        <v>117</v>
      </c>
      <c r="J857" t="s">
        <v>152</v>
      </c>
      <c r="K857">
        <v>4</v>
      </c>
      <c r="L857">
        <v>899</v>
      </c>
      <c r="M857" s="3">
        <v>0.1</v>
      </c>
      <c r="N857">
        <v>3236.4</v>
      </c>
      <c r="O857">
        <v>2000</v>
      </c>
      <c r="P857">
        <v>1236.4000000000001</v>
      </c>
      <c r="Q857" t="s">
        <v>69</v>
      </c>
      <c r="R857" t="s">
        <v>137</v>
      </c>
      <c r="S857">
        <v>3</v>
      </c>
    </row>
    <row r="858" spans="1:19">
      <c r="A858" t="s">
        <v>1203</v>
      </c>
      <c r="B858" s="2">
        <v>46218</v>
      </c>
      <c r="C858" t="s">
        <v>326</v>
      </c>
      <c r="D858" t="s">
        <v>327</v>
      </c>
      <c r="E858" t="s">
        <v>22</v>
      </c>
      <c r="F858">
        <v>33</v>
      </c>
      <c r="G858" t="s">
        <v>141</v>
      </c>
      <c r="H858" t="s">
        <v>142</v>
      </c>
      <c r="I858" t="s">
        <v>25</v>
      </c>
      <c r="J858" t="s">
        <v>26</v>
      </c>
      <c r="K858">
        <v>3</v>
      </c>
      <c r="L858">
        <v>2499</v>
      </c>
      <c r="M858" s="3">
        <v>0.15</v>
      </c>
      <c r="N858">
        <v>6372.45</v>
      </c>
      <c r="O858">
        <v>4800</v>
      </c>
      <c r="P858">
        <v>1572.45</v>
      </c>
      <c r="Q858" t="s">
        <v>37</v>
      </c>
      <c r="R858" t="s">
        <v>28</v>
      </c>
      <c r="S858">
        <v>1</v>
      </c>
    </row>
    <row r="859" spans="1:19">
      <c r="A859" t="s">
        <v>1204</v>
      </c>
      <c r="B859" s="2">
        <v>45797</v>
      </c>
      <c r="C859" t="s">
        <v>332</v>
      </c>
      <c r="D859" t="s">
        <v>333</v>
      </c>
      <c r="E859" t="s">
        <v>32</v>
      </c>
      <c r="F859">
        <v>28</v>
      </c>
      <c r="G859" t="s">
        <v>93</v>
      </c>
      <c r="H859" t="s">
        <v>94</v>
      </c>
      <c r="I859" t="s">
        <v>75</v>
      </c>
      <c r="J859" t="s">
        <v>76</v>
      </c>
      <c r="K859">
        <v>2</v>
      </c>
      <c r="L859">
        <v>399</v>
      </c>
      <c r="M859" s="3">
        <v>0.15</v>
      </c>
      <c r="N859">
        <v>678.3</v>
      </c>
      <c r="O859">
        <v>440</v>
      </c>
      <c r="P859">
        <v>238.3</v>
      </c>
      <c r="Q859" t="s">
        <v>69</v>
      </c>
      <c r="R859" t="s">
        <v>28</v>
      </c>
      <c r="S859">
        <v>3</v>
      </c>
    </row>
    <row r="860" spans="1:19">
      <c r="A860" t="s">
        <v>1205</v>
      </c>
      <c r="B860" s="2">
        <v>45819</v>
      </c>
      <c r="C860" t="s">
        <v>436</v>
      </c>
      <c r="D860" t="s">
        <v>437</v>
      </c>
      <c r="E860" t="s">
        <v>32</v>
      </c>
      <c r="F860">
        <v>44</v>
      </c>
      <c r="G860" t="s">
        <v>73</v>
      </c>
      <c r="H860" t="s">
        <v>74</v>
      </c>
      <c r="I860" t="s">
        <v>75</v>
      </c>
      <c r="J860" t="s">
        <v>86</v>
      </c>
      <c r="K860">
        <v>1</v>
      </c>
      <c r="L860">
        <v>499</v>
      </c>
      <c r="M860" s="3">
        <v>0</v>
      </c>
      <c r="N860">
        <v>499</v>
      </c>
      <c r="O860">
        <v>300</v>
      </c>
      <c r="P860">
        <v>199</v>
      </c>
      <c r="Q860" t="s">
        <v>27</v>
      </c>
      <c r="R860" t="s">
        <v>28</v>
      </c>
      <c r="S860">
        <v>2</v>
      </c>
    </row>
    <row r="861" spans="1:19">
      <c r="A861" t="s">
        <v>1206</v>
      </c>
      <c r="B861" s="2">
        <v>45794</v>
      </c>
      <c r="C861" t="s">
        <v>270</v>
      </c>
      <c r="D861" t="s">
        <v>271</v>
      </c>
      <c r="E861" t="s">
        <v>22</v>
      </c>
      <c r="F861">
        <v>51</v>
      </c>
      <c r="G861" t="s">
        <v>48</v>
      </c>
      <c r="H861" t="s">
        <v>42</v>
      </c>
      <c r="I861" t="s">
        <v>163</v>
      </c>
      <c r="J861" t="s">
        <v>164</v>
      </c>
      <c r="K861">
        <v>4</v>
      </c>
      <c r="L861">
        <v>3499</v>
      </c>
      <c r="M861" s="3">
        <v>0.15</v>
      </c>
      <c r="N861">
        <v>11896.6</v>
      </c>
      <c r="O861">
        <v>8800</v>
      </c>
      <c r="P861">
        <v>3096.6</v>
      </c>
      <c r="Q861" t="s">
        <v>37</v>
      </c>
      <c r="R861" t="s">
        <v>28</v>
      </c>
      <c r="S861">
        <v>5</v>
      </c>
    </row>
    <row r="862" spans="1:19">
      <c r="A862" t="s">
        <v>1207</v>
      </c>
      <c r="B862" s="2">
        <v>46082</v>
      </c>
      <c r="C862" t="s">
        <v>532</v>
      </c>
      <c r="D862" t="s">
        <v>533</v>
      </c>
      <c r="E862" t="s">
        <v>22</v>
      </c>
      <c r="F862">
        <v>32</v>
      </c>
      <c r="G862" t="s">
        <v>180</v>
      </c>
      <c r="H862" t="s">
        <v>181</v>
      </c>
      <c r="I862" t="s">
        <v>43</v>
      </c>
      <c r="J862" t="s">
        <v>44</v>
      </c>
      <c r="K862">
        <v>2</v>
      </c>
      <c r="L862">
        <v>1599</v>
      </c>
      <c r="M862" s="3">
        <v>0</v>
      </c>
      <c r="N862">
        <v>3198</v>
      </c>
      <c r="O862">
        <v>1900</v>
      </c>
      <c r="P862">
        <v>1298</v>
      </c>
      <c r="Q862" t="s">
        <v>37</v>
      </c>
      <c r="R862" t="s">
        <v>28</v>
      </c>
      <c r="S862">
        <v>4</v>
      </c>
    </row>
    <row r="863" spans="1:19">
      <c r="A863" t="s">
        <v>1208</v>
      </c>
      <c r="B863" s="2">
        <v>46229</v>
      </c>
      <c r="C863" t="s">
        <v>283</v>
      </c>
      <c r="D863" t="s">
        <v>284</v>
      </c>
      <c r="E863" t="s">
        <v>32</v>
      </c>
      <c r="F863">
        <v>39</v>
      </c>
      <c r="G863" t="s">
        <v>55</v>
      </c>
      <c r="H863" t="s">
        <v>34</v>
      </c>
      <c r="I863" t="s">
        <v>43</v>
      </c>
      <c r="J863" t="s">
        <v>281</v>
      </c>
      <c r="K863">
        <v>1</v>
      </c>
      <c r="L863">
        <v>2999</v>
      </c>
      <c r="M863" s="3">
        <v>0</v>
      </c>
      <c r="N863">
        <v>2999</v>
      </c>
      <c r="O863">
        <v>1800</v>
      </c>
      <c r="P863">
        <v>1199</v>
      </c>
      <c r="Q863" t="s">
        <v>50</v>
      </c>
      <c r="R863" t="s">
        <v>28</v>
      </c>
      <c r="S863">
        <v>1</v>
      </c>
    </row>
    <row r="864" spans="1:19">
      <c r="A864" t="s">
        <v>1209</v>
      </c>
      <c r="B864" s="2">
        <v>45708</v>
      </c>
      <c r="C864" t="s">
        <v>144</v>
      </c>
      <c r="D864" t="s">
        <v>145</v>
      </c>
      <c r="E864" t="s">
        <v>32</v>
      </c>
      <c r="F864">
        <v>37</v>
      </c>
      <c r="G864" t="s">
        <v>146</v>
      </c>
      <c r="H864" t="s">
        <v>61</v>
      </c>
      <c r="I864" t="s">
        <v>43</v>
      </c>
      <c r="J864" t="s">
        <v>49</v>
      </c>
      <c r="K864">
        <v>3</v>
      </c>
      <c r="L864">
        <v>799</v>
      </c>
      <c r="M864" s="3">
        <v>0.05</v>
      </c>
      <c r="N864">
        <v>2277.15</v>
      </c>
      <c r="O864">
        <v>1350</v>
      </c>
      <c r="P864">
        <v>927.15</v>
      </c>
      <c r="Q864" t="s">
        <v>66</v>
      </c>
      <c r="R864" t="s">
        <v>28</v>
      </c>
      <c r="S864">
        <v>5</v>
      </c>
    </row>
    <row r="865" spans="1:19">
      <c r="A865" t="s">
        <v>1210</v>
      </c>
      <c r="B865" s="2">
        <v>45832</v>
      </c>
      <c r="C865" t="s">
        <v>641</v>
      </c>
      <c r="D865" t="s">
        <v>72</v>
      </c>
      <c r="E865" t="s">
        <v>32</v>
      </c>
      <c r="F865">
        <v>51</v>
      </c>
      <c r="G865" t="s">
        <v>115</v>
      </c>
      <c r="H865" t="s">
        <v>116</v>
      </c>
      <c r="I865" t="s">
        <v>25</v>
      </c>
      <c r="J865" t="s">
        <v>62</v>
      </c>
      <c r="K865">
        <v>1</v>
      </c>
      <c r="L865">
        <v>1299</v>
      </c>
      <c r="M865" s="3">
        <v>0.1</v>
      </c>
      <c r="N865">
        <v>1169.0999999999999</v>
      </c>
      <c r="O865">
        <v>800</v>
      </c>
      <c r="P865">
        <v>369.1</v>
      </c>
      <c r="Q865" t="s">
        <v>50</v>
      </c>
      <c r="R865" t="s">
        <v>28</v>
      </c>
      <c r="S865">
        <v>5</v>
      </c>
    </row>
    <row r="866" spans="1:19">
      <c r="A866" t="s">
        <v>1211</v>
      </c>
      <c r="B866" s="2">
        <v>45887</v>
      </c>
      <c r="C866" t="s">
        <v>1024</v>
      </c>
      <c r="D866" t="s">
        <v>1025</v>
      </c>
      <c r="E866" t="s">
        <v>22</v>
      </c>
      <c r="F866">
        <v>35</v>
      </c>
      <c r="G866" t="s">
        <v>93</v>
      </c>
      <c r="H866" t="s">
        <v>94</v>
      </c>
      <c r="I866" t="s">
        <v>35</v>
      </c>
      <c r="J866" t="s">
        <v>136</v>
      </c>
      <c r="K866">
        <v>4</v>
      </c>
      <c r="L866">
        <v>799</v>
      </c>
      <c r="M866" s="3">
        <v>0</v>
      </c>
      <c r="N866">
        <v>3196</v>
      </c>
      <c r="O866">
        <v>1800</v>
      </c>
      <c r="P866">
        <v>1396</v>
      </c>
      <c r="Q866" t="s">
        <v>27</v>
      </c>
      <c r="R866" t="s">
        <v>28</v>
      </c>
      <c r="S866">
        <v>3</v>
      </c>
    </row>
    <row r="867" spans="1:19">
      <c r="A867" t="s">
        <v>1212</v>
      </c>
      <c r="B867" s="2">
        <v>45791</v>
      </c>
      <c r="C867" t="s">
        <v>134</v>
      </c>
      <c r="D867" t="s">
        <v>135</v>
      </c>
      <c r="E867" t="s">
        <v>32</v>
      </c>
      <c r="F867">
        <v>53</v>
      </c>
      <c r="G867" t="s">
        <v>23</v>
      </c>
      <c r="H867" t="s">
        <v>24</v>
      </c>
      <c r="I867" t="s">
        <v>117</v>
      </c>
      <c r="J867" t="s">
        <v>152</v>
      </c>
      <c r="K867">
        <v>4</v>
      </c>
      <c r="L867">
        <v>899</v>
      </c>
      <c r="M867" s="3">
        <v>0.15</v>
      </c>
      <c r="N867">
        <v>3056.6</v>
      </c>
      <c r="O867">
        <v>2000</v>
      </c>
      <c r="P867">
        <v>1056.5999999999999</v>
      </c>
      <c r="Q867" t="s">
        <v>66</v>
      </c>
      <c r="R867" t="s">
        <v>137</v>
      </c>
      <c r="S867">
        <v>2</v>
      </c>
    </row>
    <row r="868" spans="1:19">
      <c r="A868" t="s">
        <v>1213</v>
      </c>
      <c r="B868" s="2">
        <v>45842</v>
      </c>
      <c r="C868" t="s">
        <v>53</v>
      </c>
      <c r="D868" t="s">
        <v>54</v>
      </c>
      <c r="E868" t="s">
        <v>22</v>
      </c>
      <c r="F868">
        <v>34</v>
      </c>
      <c r="G868" t="s">
        <v>55</v>
      </c>
      <c r="H868" t="s">
        <v>34</v>
      </c>
      <c r="I868" t="s">
        <v>117</v>
      </c>
      <c r="J868" t="s">
        <v>152</v>
      </c>
      <c r="K868">
        <v>2</v>
      </c>
      <c r="L868">
        <v>899</v>
      </c>
      <c r="M868" s="3">
        <v>0.15</v>
      </c>
      <c r="N868">
        <v>1528.3</v>
      </c>
      <c r="O868">
        <v>1000</v>
      </c>
      <c r="P868">
        <v>528.29999999999995</v>
      </c>
      <c r="Q868" t="s">
        <v>66</v>
      </c>
      <c r="R868" t="s">
        <v>137</v>
      </c>
      <c r="S868">
        <v>1</v>
      </c>
    </row>
    <row r="869" spans="1:19">
      <c r="A869" t="s">
        <v>1214</v>
      </c>
      <c r="B869" s="2">
        <v>46119</v>
      </c>
      <c r="C869" t="s">
        <v>623</v>
      </c>
      <c r="D869" t="s">
        <v>624</v>
      </c>
      <c r="E869" t="s">
        <v>22</v>
      </c>
      <c r="F869">
        <v>52</v>
      </c>
      <c r="G869" t="s">
        <v>60</v>
      </c>
      <c r="H869" t="s">
        <v>61</v>
      </c>
      <c r="I869" t="s">
        <v>43</v>
      </c>
      <c r="J869" t="s">
        <v>197</v>
      </c>
      <c r="K869">
        <v>2</v>
      </c>
      <c r="L869">
        <v>1799</v>
      </c>
      <c r="M869" s="3">
        <v>0.2</v>
      </c>
      <c r="N869">
        <v>2878.4</v>
      </c>
      <c r="O869">
        <v>2100</v>
      </c>
      <c r="P869">
        <v>778.4</v>
      </c>
      <c r="Q869" t="s">
        <v>27</v>
      </c>
      <c r="R869" t="s">
        <v>28</v>
      </c>
      <c r="S869">
        <v>4</v>
      </c>
    </row>
    <row r="870" spans="1:19">
      <c r="A870" t="s">
        <v>1215</v>
      </c>
      <c r="B870" s="2">
        <v>45989</v>
      </c>
      <c r="C870" t="s">
        <v>801</v>
      </c>
      <c r="D870" t="s">
        <v>225</v>
      </c>
      <c r="E870" t="s">
        <v>32</v>
      </c>
      <c r="F870">
        <v>55</v>
      </c>
      <c r="G870" t="s">
        <v>41</v>
      </c>
      <c r="H870" t="s">
        <v>42</v>
      </c>
      <c r="I870" t="s">
        <v>25</v>
      </c>
      <c r="J870" t="s">
        <v>156</v>
      </c>
      <c r="K870">
        <v>4</v>
      </c>
      <c r="L870">
        <v>1999</v>
      </c>
      <c r="M870" s="3">
        <v>0.05</v>
      </c>
      <c r="N870">
        <v>7596.2</v>
      </c>
      <c r="O870">
        <v>5200</v>
      </c>
      <c r="P870">
        <v>2396.1999999999998</v>
      </c>
      <c r="Q870" t="s">
        <v>66</v>
      </c>
      <c r="R870" t="s">
        <v>28</v>
      </c>
      <c r="S870">
        <v>4</v>
      </c>
    </row>
    <row r="871" spans="1:19">
      <c r="A871" t="s">
        <v>1216</v>
      </c>
      <c r="B871" s="2">
        <v>45755</v>
      </c>
      <c r="C871" t="s">
        <v>100</v>
      </c>
      <c r="D871" t="s">
        <v>101</v>
      </c>
      <c r="E871" t="s">
        <v>32</v>
      </c>
      <c r="F871">
        <v>50</v>
      </c>
      <c r="G871" t="s">
        <v>55</v>
      </c>
      <c r="H871" t="s">
        <v>34</v>
      </c>
      <c r="I871" t="s">
        <v>117</v>
      </c>
      <c r="J871" t="s">
        <v>152</v>
      </c>
      <c r="K871">
        <v>3</v>
      </c>
      <c r="L871">
        <v>899</v>
      </c>
      <c r="M871" s="3">
        <v>0</v>
      </c>
      <c r="N871">
        <v>2697</v>
      </c>
      <c r="O871">
        <v>1500</v>
      </c>
      <c r="P871">
        <v>1197</v>
      </c>
      <c r="Q871" t="s">
        <v>50</v>
      </c>
      <c r="R871" t="s">
        <v>28</v>
      </c>
      <c r="S871">
        <v>3</v>
      </c>
    </row>
    <row r="872" spans="1:19">
      <c r="A872" t="s">
        <v>1217</v>
      </c>
      <c r="B872" s="2">
        <v>45704</v>
      </c>
      <c r="C872" t="s">
        <v>463</v>
      </c>
      <c r="D872" t="s">
        <v>391</v>
      </c>
      <c r="E872" t="s">
        <v>32</v>
      </c>
      <c r="F872">
        <v>34</v>
      </c>
      <c r="G872" t="s">
        <v>81</v>
      </c>
      <c r="H872" t="s">
        <v>82</v>
      </c>
      <c r="I872" t="s">
        <v>35</v>
      </c>
      <c r="J872" t="s">
        <v>36</v>
      </c>
      <c r="K872">
        <v>3</v>
      </c>
      <c r="L872">
        <v>599</v>
      </c>
      <c r="M872" s="3">
        <v>0.2</v>
      </c>
      <c r="N872">
        <v>1437.6</v>
      </c>
      <c r="O872">
        <v>960</v>
      </c>
      <c r="P872">
        <v>477.6</v>
      </c>
      <c r="Q872" t="s">
        <v>69</v>
      </c>
      <c r="R872" t="s">
        <v>28</v>
      </c>
      <c r="S872">
        <v>5</v>
      </c>
    </row>
    <row r="873" spans="1:19">
      <c r="A873" t="s">
        <v>1218</v>
      </c>
      <c r="B873" s="2">
        <v>45793</v>
      </c>
      <c r="C873" t="s">
        <v>192</v>
      </c>
      <c r="D873" t="s">
        <v>193</v>
      </c>
      <c r="E873" t="s">
        <v>32</v>
      </c>
      <c r="F873">
        <v>47</v>
      </c>
      <c r="G873" t="s">
        <v>93</v>
      </c>
      <c r="H873" t="s">
        <v>94</v>
      </c>
      <c r="I873" t="s">
        <v>43</v>
      </c>
      <c r="J873" t="s">
        <v>44</v>
      </c>
      <c r="K873">
        <v>4</v>
      </c>
      <c r="L873">
        <v>1599</v>
      </c>
      <c r="M873" s="3">
        <v>0.1</v>
      </c>
      <c r="N873">
        <v>5756.4</v>
      </c>
      <c r="O873">
        <v>3800</v>
      </c>
      <c r="P873">
        <v>1956.4</v>
      </c>
      <c r="Q873" t="s">
        <v>50</v>
      </c>
      <c r="R873" t="s">
        <v>28</v>
      </c>
      <c r="S873">
        <v>2</v>
      </c>
    </row>
    <row r="874" spans="1:19">
      <c r="A874" t="s">
        <v>1219</v>
      </c>
      <c r="B874" s="2">
        <v>46137</v>
      </c>
      <c r="C874" t="s">
        <v>641</v>
      </c>
      <c r="D874" t="s">
        <v>72</v>
      </c>
      <c r="E874" t="s">
        <v>32</v>
      </c>
      <c r="F874">
        <v>51</v>
      </c>
      <c r="G874" t="s">
        <v>115</v>
      </c>
      <c r="H874" t="s">
        <v>116</v>
      </c>
      <c r="I874" t="s">
        <v>43</v>
      </c>
      <c r="J874" t="s">
        <v>95</v>
      </c>
      <c r="K874">
        <v>4</v>
      </c>
      <c r="L874">
        <v>2499</v>
      </c>
      <c r="M874" s="3">
        <v>0.1</v>
      </c>
      <c r="N874">
        <v>8996.4</v>
      </c>
      <c r="O874">
        <v>6000</v>
      </c>
      <c r="P874">
        <v>2996.4</v>
      </c>
      <c r="Q874" t="s">
        <v>27</v>
      </c>
      <c r="R874" t="s">
        <v>28</v>
      </c>
      <c r="S874">
        <v>5</v>
      </c>
    </row>
    <row r="875" spans="1:19">
      <c r="A875" t="s">
        <v>1220</v>
      </c>
      <c r="B875" s="2">
        <v>45978</v>
      </c>
      <c r="C875" t="s">
        <v>267</v>
      </c>
      <c r="D875" t="s">
        <v>268</v>
      </c>
      <c r="E875" t="s">
        <v>22</v>
      </c>
      <c r="F875">
        <v>35</v>
      </c>
      <c r="G875" t="s">
        <v>141</v>
      </c>
      <c r="H875" t="s">
        <v>142</v>
      </c>
      <c r="I875" t="s">
        <v>25</v>
      </c>
      <c r="J875" t="s">
        <v>62</v>
      </c>
      <c r="K875">
        <v>3</v>
      </c>
      <c r="L875">
        <v>1299</v>
      </c>
      <c r="M875" s="3">
        <v>0</v>
      </c>
      <c r="N875">
        <v>3897</v>
      </c>
      <c r="O875">
        <v>2400</v>
      </c>
      <c r="P875">
        <v>1497</v>
      </c>
      <c r="Q875" t="s">
        <v>69</v>
      </c>
      <c r="R875" t="s">
        <v>51</v>
      </c>
      <c r="S875">
        <v>4</v>
      </c>
    </row>
    <row r="876" spans="1:19">
      <c r="A876" t="s">
        <v>1221</v>
      </c>
      <c r="B876" s="2">
        <v>45947</v>
      </c>
      <c r="C876" t="s">
        <v>120</v>
      </c>
      <c r="D876" t="s">
        <v>121</v>
      </c>
      <c r="E876" t="s">
        <v>32</v>
      </c>
      <c r="F876">
        <v>35</v>
      </c>
      <c r="G876" t="s">
        <v>93</v>
      </c>
      <c r="H876" t="s">
        <v>94</v>
      </c>
      <c r="I876" t="s">
        <v>117</v>
      </c>
      <c r="J876" t="s">
        <v>152</v>
      </c>
      <c r="K876">
        <v>3</v>
      </c>
      <c r="L876">
        <v>899</v>
      </c>
      <c r="M876" s="3">
        <v>0.15</v>
      </c>
      <c r="N876">
        <v>2292.4499999999998</v>
      </c>
      <c r="O876">
        <v>1500</v>
      </c>
      <c r="P876">
        <v>792.45</v>
      </c>
      <c r="Q876" t="s">
        <v>37</v>
      </c>
      <c r="R876" t="s">
        <v>28</v>
      </c>
      <c r="S876">
        <v>3</v>
      </c>
    </row>
    <row r="877" spans="1:19">
      <c r="A877" t="s">
        <v>1222</v>
      </c>
      <c r="B877" s="2">
        <v>45981</v>
      </c>
      <c r="C877" t="s">
        <v>351</v>
      </c>
      <c r="D877" t="s">
        <v>352</v>
      </c>
      <c r="E877" t="s">
        <v>32</v>
      </c>
      <c r="F877">
        <v>41</v>
      </c>
      <c r="G877" t="s">
        <v>73</v>
      </c>
      <c r="H877" t="s">
        <v>74</v>
      </c>
      <c r="I877" t="s">
        <v>163</v>
      </c>
      <c r="J877" t="s">
        <v>164</v>
      </c>
      <c r="K877">
        <v>4</v>
      </c>
      <c r="L877">
        <v>3499</v>
      </c>
      <c r="M877" s="3">
        <v>0.05</v>
      </c>
      <c r="N877">
        <v>13296.2</v>
      </c>
      <c r="O877">
        <v>8800</v>
      </c>
      <c r="P877">
        <v>4496.2</v>
      </c>
      <c r="Q877" t="s">
        <v>66</v>
      </c>
      <c r="R877" t="s">
        <v>28</v>
      </c>
      <c r="S877">
        <v>2</v>
      </c>
    </row>
    <row r="878" spans="1:19">
      <c r="A878" t="s">
        <v>1223</v>
      </c>
      <c r="B878" s="2">
        <v>45851</v>
      </c>
      <c r="C878" t="s">
        <v>427</v>
      </c>
      <c r="D878" t="s">
        <v>248</v>
      </c>
      <c r="E878" t="s">
        <v>32</v>
      </c>
      <c r="F878">
        <v>33</v>
      </c>
      <c r="G878" t="s">
        <v>41</v>
      </c>
      <c r="H878" t="s">
        <v>42</v>
      </c>
      <c r="I878" t="s">
        <v>117</v>
      </c>
      <c r="J878" t="s">
        <v>118</v>
      </c>
      <c r="K878">
        <v>4</v>
      </c>
      <c r="L878">
        <v>999</v>
      </c>
      <c r="M878" s="3">
        <v>0</v>
      </c>
      <c r="N878">
        <v>3996</v>
      </c>
      <c r="O878">
        <v>2200</v>
      </c>
      <c r="P878">
        <v>1796</v>
      </c>
      <c r="Q878" t="s">
        <v>27</v>
      </c>
      <c r="R878" t="s">
        <v>28</v>
      </c>
      <c r="S878">
        <v>2</v>
      </c>
    </row>
    <row r="879" spans="1:19">
      <c r="A879" t="s">
        <v>1224</v>
      </c>
      <c r="B879" s="2">
        <v>46136</v>
      </c>
      <c r="C879" t="s">
        <v>321</v>
      </c>
      <c r="D879" t="s">
        <v>322</v>
      </c>
      <c r="E879" t="s">
        <v>22</v>
      </c>
      <c r="F879">
        <v>42</v>
      </c>
      <c r="G879" t="s">
        <v>23</v>
      </c>
      <c r="H879" t="s">
        <v>24</v>
      </c>
      <c r="I879" t="s">
        <v>35</v>
      </c>
      <c r="J879" t="s">
        <v>36</v>
      </c>
      <c r="K879">
        <v>3</v>
      </c>
      <c r="L879">
        <v>599</v>
      </c>
      <c r="M879" s="3">
        <v>0.05</v>
      </c>
      <c r="N879">
        <v>1707.15</v>
      </c>
      <c r="O879">
        <v>960</v>
      </c>
      <c r="P879">
        <v>747.15</v>
      </c>
      <c r="Q879" t="s">
        <v>66</v>
      </c>
      <c r="R879" t="s">
        <v>28</v>
      </c>
      <c r="S879">
        <v>4</v>
      </c>
    </row>
    <row r="880" spans="1:19">
      <c r="A880" t="s">
        <v>1225</v>
      </c>
      <c r="B880" s="2">
        <v>46154</v>
      </c>
      <c r="C880" t="s">
        <v>496</v>
      </c>
      <c r="D880" t="s">
        <v>408</v>
      </c>
      <c r="E880" t="s">
        <v>32</v>
      </c>
      <c r="F880">
        <v>54</v>
      </c>
      <c r="G880" t="s">
        <v>41</v>
      </c>
      <c r="H880" t="s">
        <v>42</v>
      </c>
      <c r="I880" t="s">
        <v>35</v>
      </c>
      <c r="J880" t="s">
        <v>136</v>
      </c>
      <c r="K880">
        <v>3</v>
      </c>
      <c r="L880">
        <v>799</v>
      </c>
      <c r="M880" s="3">
        <v>0.2</v>
      </c>
      <c r="N880">
        <v>1917.6</v>
      </c>
      <c r="O880">
        <v>1350</v>
      </c>
      <c r="P880">
        <v>567.6</v>
      </c>
      <c r="Q880" t="s">
        <v>66</v>
      </c>
      <c r="R880" t="s">
        <v>28</v>
      </c>
      <c r="S880">
        <v>2</v>
      </c>
    </row>
    <row r="881" spans="1:19">
      <c r="A881" t="s">
        <v>1226</v>
      </c>
      <c r="B881" s="2">
        <v>45948</v>
      </c>
      <c r="C881" t="s">
        <v>243</v>
      </c>
      <c r="D881" t="s">
        <v>244</v>
      </c>
      <c r="E881" t="s">
        <v>22</v>
      </c>
      <c r="F881">
        <v>38</v>
      </c>
      <c r="G881" t="s">
        <v>23</v>
      </c>
      <c r="H881" t="s">
        <v>24</v>
      </c>
      <c r="I881" t="s">
        <v>163</v>
      </c>
      <c r="J881" t="s">
        <v>214</v>
      </c>
      <c r="K881">
        <v>1</v>
      </c>
      <c r="L881">
        <v>1499</v>
      </c>
      <c r="M881" s="3">
        <v>0.05</v>
      </c>
      <c r="N881">
        <v>1424.05</v>
      </c>
      <c r="O881">
        <v>900</v>
      </c>
      <c r="P881">
        <v>524.04999999999995</v>
      </c>
      <c r="Q881" t="s">
        <v>27</v>
      </c>
      <c r="R881" t="s">
        <v>137</v>
      </c>
      <c r="S881">
        <v>3</v>
      </c>
    </row>
    <row r="882" spans="1:19">
      <c r="A882" t="s">
        <v>1227</v>
      </c>
      <c r="B882" s="2">
        <v>45662</v>
      </c>
      <c r="C882" t="s">
        <v>287</v>
      </c>
      <c r="D882" t="s">
        <v>190</v>
      </c>
      <c r="E882" t="s">
        <v>32</v>
      </c>
      <c r="F882">
        <v>39</v>
      </c>
      <c r="G882" t="s">
        <v>81</v>
      </c>
      <c r="H882" t="s">
        <v>82</v>
      </c>
      <c r="I882" t="s">
        <v>117</v>
      </c>
      <c r="J882" t="s">
        <v>118</v>
      </c>
      <c r="K882">
        <v>2</v>
      </c>
      <c r="L882">
        <v>999</v>
      </c>
      <c r="M882" s="3">
        <v>0.2</v>
      </c>
      <c r="N882">
        <v>1598.4</v>
      </c>
      <c r="O882">
        <v>1100</v>
      </c>
      <c r="P882">
        <v>498.4</v>
      </c>
      <c r="Q882" t="s">
        <v>50</v>
      </c>
      <c r="R882" t="s">
        <v>28</v>
      </c>
      <c r="S882">
        <v>2</v>
      </c>
    </row>
    <row r="883" spans="1:19">
      <c r="A883" t="s">
        <v>1228</v>
      </c>
      <c r="B883" s="2">
        <v>45754</v>
      </c>
      <c r="C883" t="s">
        <v>491</v>
      </c>
      <c r="D883" t="s">
        <v>92</v>
      </c>
      <c r="E883" t="s">
        <v>22</v>
      </c>
      <c r="F883">
        <v>25</v>
      </c>
      <c r="G883" t="s">
        <v>23</v>
      </c>
      <c r="H883" t="s">
        <v>24</v>
      </c>
      <c r="I883" t="s">
        <v>25</v>
      </c>
      <c r="J883" t="s">
        <v>26</v>
      </c>
      <c r="K883">
        <v>2</v>
      </c>
      <c r="L883">
        <v>2499</v>
      </c>
      <c r="M883" s="3">
        <v>0.15</v>
      </c>
      <c r="N883">
        <v>4248.3</v>
      </c>
      <c r="O883">
        <v>3200</v>
      </c>
      <c r="P883">
        <v>1048.3</v>
      </c>
      <c r="Q883" t="s">
        <v>37</v>
      </c>
      <c r="R883" t="s">
        <v>28</v>
      </c>
      <c r="S883">
        <v>1</v>
      </c>
    </row>
    <row r="884" spans="1:19">
      <c r="A884" t="s">
        <v>1229</v>
      </c>
      <c r="B884" s="2">
        <v>45815</v>
      </c>
      <c r="C884" t="s">
        <v>632</v>
      </c>
      <c r="D884" t="s">
        <v>633</v>
      </c>
      <c r="E884" t="s">
        <v>22</v>
      </c>
      <c r="F884">
        <v>33</v>
      </c>
      <c r="G884" t="s">
        <v>55</v>
      </c>
      <c r="H884" t="s">
        <v>34</v>
      </c>
      <c r="I884" t="s">
        <v>163</v>
      </c>
      <c r="J884" t="s">
        <v>214</v>
      </c>
      <c r="K884">
        <v>1</v>
      </c>
      <c r="L884">
        <v>1499</v>
      </c>
      <c r="M884" s="3">
        <v>0.1</v>
      </c>
      <c r="N884">
        <v>1349.1</v>
      </c>
      <c r="O884">
        <v>900</v>
      </c>
      <c r="P884">
        <v>449.1</v>
      </c>
      <c r="Q884" t="s">
        <v>69</v>
      </c>
      <c r="R884" t="s">
        <v>28</v>
      </c>
      <c r="S884">
        <v>4</v>
      </c>
    </row>
    <row r="885" spans="1:19">
      <c r="A885" t="s">
        <v>1230</v>
      </c>
      <c r="B885" s="2">
        <v>45663</v>
      </c>
      <c r="C885" t="s">
        <v>161</v>
      </c>
      <c r="D885" t="s">
        <v>162</v>
      </c>
      <c r="E885" t="s">
        <v>22</v>
      </c>
      <c r="F885">
        <v>44</v>
      </c>
      <c r="G885" t="s">
        <v>146</v>
      </c>
      <c r="H885" t="s">
        <v>61</v>
      </c>
      <c r="I885" t="s">
        <v>75</v>
      </c>
      <c r="J885" t="s">
        <v>76</v>
      </c>
      <c r="K885">
        <v>3</v>
      </c>
      <c r="L885">
        <v>399</v>
      </c>
      <c r="M885" s="3">
        <v>0.2</v>
      </c>
      <c r="N885">
        <v>957.6</v>
      </c>
      <c r="O885">
        <v>660</v>
      </c>
      <c r="P885">
        <v>297.60000000000002</v>
      </c>
      <c r="Q885" t="s">
        <v>37</v>
      </c>
      <c r="R885" t="s">
        <v>51</v>
      </c>
      <c r="S885">
        <v>5</v>
      </c>
    </row>
    <row r="886" spans="1:19">
      <c r="A886" t="s">
        <v>1231</v>
      </c>
      <c r="B886" s="2">
        <v>45707</v>
      </c>
      <c r="C886" t="s">
        <v>257</v>
      </c>
      <c r="D886" t="s">
        <v>125</v>
      </c>
      <c r="E886" t="s">
        <v>32</v>
      </c>
      <c r="F886">
        <v>52</v>
      </c>
      <c r="G886" t="s">
        <v>33</v>
      </c>
      <c r="H886" t="s">
        <v>34</v>
      </c>
      <c r="I886" t="s">
        <v>163</v>
      </c>
      <c r="J886" t="s">
        <v>164</v>
      </c>
      <c r="K886">
        <v>2</v>
      </c>
      <c r="L886">
        <v>3499</v>
      </c>
      <c r="M886" s="3">
        <v>0.05</v>
      </c>
      <c r="N886">
        <v>6648.1</v>
      </c>
      <c r="O886">
        <v>4400</v>
      </c>
      <c r="P886">
        <v>2248.1</v>
      </c>
      <c r="Q886" t="s">
        <v>37</v>
      </c>
      <c r="R886" t="s">
        <v>28</v>
      </c>
      <c r="S886">
        <v>1</v>
      </c>
    </row>
    <row r="887" spans="1:19">
      <c r="A887" t="s">
        <v>1232</v>
      </c>
      <c r="B887" s="2">
        <v>46066</v>
      </c>
      <c r="C887" t="s">
        <v>261</v>
      </c>
      <c r="D887" t="s">
        <v>262</v>
      </c>
      <c r="E887" t="s">
        <v>22</v>
      </c>
      <c r="F887">
        <v>54</v>
      </c>
      <c r="G887" t="s">
        <v>60</v>
      </c>
      <c r="H887" t="s">
        <v>61</v>
      </c>
      <c r="I887" t="s">
        <v>35</v>
      </c>
      <c r="J887" t="s">
        <v>126</v>
      </c>
      <c r="K887">
        <v>4</v>
      </c>
      <c r="L887">
        <v>1499</v>
      </c>
      <c r="M887" s="3">
        <v>0</v>
      </c>
      <c r="N887">
        <v>5996</v>
      </c>
      <c r="O887">
        <v>3400</v>
      </c>
      <c r="P887">
        <v>2596</v>
      </c>
      <c r="Q887" t="s">
        <v>37</v>
      </c>
      <c r="R887" t="s">
        <v>28</v>
      </c>
      <c r="S887">
        <v>4</v>
      </c>
    </row>
    <row r="888" spans="1:19">
      <c r="A888" t="s">
        <v>1233</v>
      </c>
      <c r="B888" s="2">
        <v>46055</v>
      </c>
      <c r="C888" t="s">
        <v>692</v>
      </c>
      <c r="D888" t="s">
        <v>343</v>
      </c>
      <c r="E888" t="s">
        <v>22</v>
      </c>
      <c r="F888">
        <v>50</v>
      </c>
      <c r="G888" t="s">
        <v>48</v>
      </c>
      <c r="H888" t="s">
        <v>42</v>
      </c>
      <c r="I888" t="s">
        <v>25</v>
      </c>
      <c r="J888" t="s">
        <v>156</v>
      </c>
      <c r="K888">
        <v>2</v>
      </c>
      <c r="L888">
        <v>1999</v>
      </c>
      <c r="M888" s="3">
        <v>0.05</v>
      </c>
      <c r="N888">
        <v>3798.1</v>
      </c>
      <c r="O888">
        <v>2600</v>
      </c>
      <c r="P888">
        <v>1198.0999999999999</v>
      </c>
      <c r="Q888" t="s">
        <v>66</v>
      </c>
      <c r="R888" t="s">
        <v>28</v>
      </c>
      <c r="S888">
        <v>2</v>
      </c>
    </row>
    <row r="889" spans="1:19">
      <c r="A889" t="s">
        <v>1234</v>
      </c>
      <c r="B889" s="2">
        <v>45975</v>
      </c>
      <c r="C889" t="s">
        <v>562</v>
      </c>
      <c r="D889" t="s">
        <v>563</v>
      </c>
      <c r="E889" t="s">
        <v>22</v>
      </c>
      <c r="F889">
        <v>27</v>
      </c>
      <c r="G889" t="s">
        <v>180</v>
      </c>
      <c r="H889" t="s">
        <v>181</v>
      </c>
      <c r="I889" t="s">
        <v>43</v>
      </c>
      <c r="J889" t="s">
        <v>44</v>
      </c>
      <c r="K889">
        <v>4</v>
      </c>
      <c r="L889">
        <v>1599</v>
      </c>
      <c r="M889" s="3">
        <v>0.15</v>
      </c>
      <c r="N889">
        <v>5436.6</v>
      </c>
      <c r="O889">
        <v>3800</v>
      </c>
      <c r="P889">
        <v>1636.6</v>
      </c>
      <c r="Q889" t="s">
        <v>50</v>
      </c>
      <c r="R889" t="s">
        <v>28</v>
      </c>
      <c r="S889">
        <v>1</v>
      </c>
    </row>
    <row r="890" spans="1:19">
      <c r="A890" t="s">
        <v>1235</v>
      </c>
      <c r="B890" s="2">
        <v>46114</v>
      </c>
      <c r="C890" t="s">
        <v>30</v>
      </c>
      <c r="D890" t="s">
        <v>31</v>
      </c>
      <c r="E890" t="s">
        <v>32</v>
      </c>
      <c r="F890">
        <v>29</v>
      </c>
      <c r="G890" t="s">
        <v>33</v>
      </c>
      <c r="H890" t="s">
        <v>34</v>
      </c>
      <c r="I890" t="s">
        <v>35</v>
      </c>
      <c r="J890" t="s">
        <v>108</v>
      </c>
      <c r="K890">
        <v>2</v>
      </c>
      <c r="L890">
        <v>699</v>
      </c>
      <c r="M890" s="3">
        <v>0.15</v>
      </c>
      <c r="N890">
        <v>1188.3</v>
      </c>
      <c r="O890">
        <v>760</v>
      </c>
      <c r="P890">
        <v>428.3</v>
      </c>
      <c r="Q890" t="s">
        <v>66</v>
      </c>
      <c r="R890" t="s">
        <v>28</v>
      </c>
      <c r="S890">
        <v>5</v>
      </c>
    </row>
    <row r="891" spans="1:19">
      <c r="A891" t="s">
        <v>1236</v>
      </c>
      <c r="B891" s="2">
        <v>45848</v>
      </c>
      <c r="C891" t="s">
        <v>100</v>
      </c>
      <c r="D891" t="s">
        <v>101</v>
      </c>
      <c r="E891" t="s">
        <v>32</v>
      </c>
      <c r="F891">
        <v>50</v>
      </c>
      <c r="G891" t="s">
        <v>55</v>
      </c>
      <c r="H891" t="s">
        <v>34</v>
      </c>
      <c r="I891" t="s">
        <v>25</v>
      </c>
      <c r="J891" t="s">
        <v>26</v>
      </c>
      <c r="K891">
        <v>4</v>
      </c>
      <c r="L891">
        <v>2499</v>
      </c>
      <c r="M891" s="3">
        <v>0.1</v>
      </c>
      <c r="N891">
        <v>8996.4</v>
      </c>
      <c r="O891">
        <v>6400</v>
      </c>
      <c r="P891">
        <v>2596.4</v>
      </c>
      <c r="Q891" t="s">
        <v>66</v>
      </c>
      <c r="R891" t="s">
        <v>28</v>
      </c>
      <c r="S891">
        <v>1</v>
      </c>
    </row>
    <row r="892" spans="1:19">
      <c r="A892" t="s">
        <v>1237</v>
      </c>
      <c r="B892" s="2">
        <v>45887</v>
      </c>
      <c r="C892" t="s">
        <v>496</v>
      </c>
      <c r="D892" t="s">
        <v>408</v>
      </c>
      <c r="E892" t="s">
        <v>32</v>
      </c>
      <c r="F892">
        <v>54</v>
      </c>
      <c r="G892" t="s">
        <v>41</v>
      </c>
      <c r="H892" t="s">
        <v>42</v>
      </c>
      <c r="I892" t="s">
        <v>35</v>
      </c>
      <c r="J892" t="s">
        <v>108</v>
      </c>
      <c r="K892">
        <v>3</v>
      </c>
      <c r="L892">
        <v>699</v>
      </c>
      <c r="M892" s="3">
        <v>0.15</v>
      </c>
      <c r="N892">
        <v>1782.45</v>
      </c>
      <c r="O892">
        <v>1140</v>
      </c>
      <c r="P892">
        <v>642.45000000000005</v>
      </c>
      <c r="Q892" t="s">
        <v>27</v>
      </c>
      <c r="R892" t="s">
        <v>77</v>
      </c>
      <c r="S892">
        <v>1</v>
      </c>
    </row>
    <row r="893" spans="1:19">
      <c r="A893" t="s">
        <v>1238</v>
      </c>
      <c r="B893" s="2">
        <v>46147</v>
      </c>
      <c r="C893" t="s">
        <v>623</v>
      </c>
      <c r="D893" t="s">
        <v>624</v>
      </c>
      <c r="E893" t="s">
        <v>22</v>
      </c>
      <c r="F893">
        <v>52</v>
      </c>
      <c r="G893" t="s">
        <v>60</v>
      </c>
      <c r="H893" t="s">
        <v>61</v>
      </c>
      <c r="I893" t="s">
        <v>35</v>
      </c>
      <c r="J893" t="s">
        <v>136</v>
      </c>
      <c r="K893">
        <v>4</v>
      </c>
      <c r="L893">
        <v>799</v>
      </c>
      <c r="M893" s="3">
        <v>0</v>
      </c>
      <c r="N893">
        <v>3196</v>
      </c>
      <c r="O893">
        <v>1800</v>
      </c>
      <c r="P893">
        <v>1396</v>
      </c>
      <c r="Q893" t="s">
        <v>37</v>
      </c>
      <c r="R893" t="s">
        <v>28</v>
      </c>
      <c r="S893">
        <v>2</v>
      </c>
    </row>
    <row r="894" spans="1:19">
      <c r="A894" t="s">
        <v>1239</v>
      </c>
      <c r="B894" s="2">
        <v>46240</v>
      </c>
      <c r="C894" t="s">
        <v>84</v>
      </c>
      <c r="D894" t="s">
        <v>85</v>
      </c>
      <c r="E894" t="s">
        <v>32</v>
      </c>
      <c r="F894">
        <v>20</v>
      </c>
      <c r="G894" t="s">
        <v>41</v>
      </c>
      <c r="H894" t="s">
        <v>42</v>
      </c>
      <c r="I894" t="s">
        <v>43</v>
      </c>
      <c r="J894" t="s">
        <v>281</v>
      </c>
      <c r="K894">
        <v>4</v>
      </c>
      <c r="L894">
        <v>2999</v>
      </c>
      <c r="M894" s="3">
        <v>0.1</v>
      </c>
      <c r="N894">
        <v>10796.4</v>
      </c>
      <c r="O894">
        <v>7200</v>
      </c>
      <c r="P894">
        <v>3596.4</v>
      </c>
      <c r="Q894" t="s">
        <v>69</v>
      </c>
      <c r="R894" t="s">
        <v>28</v>
      </c>
      <c r="S894">
        <v>1</v>
      </c>
    </row>
    <row r="895" spans="1:19">
      <c r="A895" t="s">
        <v>1240</v>
      </c>
      <c r="B895" s="2">
        <v>45754</v>
      </c>
      <c r="C895" t="s">
        <v>365</v>
      </c>
      <c r="D895" t="s">
        <v>366</v>
      </c>
      <c r="E895" t="s">
        <v>22</v>
      </c>
      <c r="F895">
        <v>54</v>
      </c>
      <c r="G895" t="s">
        <v>93</v>
      </c>
      <c r="H895" t="s">
        <v>94</v>
      </c>
      <c r="I895" t="s">
        <v>25</v>
      </c>
      <c r="J895" t="s">
        <v>56</v>
      </c>
      <c r="K895">
        <v>4</v>
      </c>
      <c r="L895">
        <v>899</v>
      </c>
      <c r="M895" s="3">
        <v>0.15</v>
      </c>
      <c r="N895">
        <v>3056.6</v>
      </c>
      <c r="O895">
        <v>2200</v>
      </c>
      <c r="P895">
        <v>856.6</v>
      </c>
      <c r="Q895" t="s">
        <v>66</v>
      </c>
      <c r="R895" t="s">
        <v>28</v>
      </c>
      <c r="S895">
        <v>5</v>
      </c>
    </row>
    <row r="896" spans="1:19">
      <c r="A896" t="s">
        <v>1241</v>
      </c>
      <c r="B896" s="2">
        <v>45741</v>
      </c>
      <c r="C896" t="s">
        <v>209</v>
      </c>
      <c r="D896" t="s">
        <v>210</v>
      </c>
      <c r="E896" t="s">
        <v>32</v>
      </c>
      <c r="F896">
        <v>26</v>
      </c>
      <c r="G896" t="s">
        <v>23</v>
      </c>
      <c r="H896" t="s">
        <v>24</v>
      </c>
      <c r="I896" t="s">
        <v>163</v>
      </c>
      <c r="J896" t="s">
        <v>214</v>
      </c>
      <c r="K896">
        <v>3</v>
      </c>
      <c r="L896">
        <v>1499</v>
      </c>
      <c r="M896" s="3">
        <v>0.2</v>
      </c>
      <c r="N896">
        <v>3597.6</v>
      </c>
      <c r="O896">
        <v>2700</v>
      </c>
      <c r="P896">
        <v>897.6</v>
      </c>
      <c r="Q896" t="s">
        <v>50</v>
      </c>
      <c r="R896" t="s">
        <v>28</v>
      </c>
      <c r="S896">
        <v>4</v>
      </c>
    </row>
    <row r="897" spans="1:19">
      <c r="A897" t="s">
        <v>1242</v>
      </c>
      <c r="B897" s="2">
        <v>45743</v>
      </c>
      <c r="C897" t="s">
        <v>511</v>
      </c>
      <c r="D897" t="s">
        <v>512</v>
      </c>
      <c r="E897" t="s">
        <v>22</v>
      </c>
      <c r="F897">
        <v>24</v>
      </c>
      <c r="G897" t="s">
        <v>115</v>
      </c>
      <c r="H897" t="s">
        <v>116</v>
      </c>
      <c r="I897" t="s">
        <v>43</v>
      </c>
      <c r="J897" t="s">
        <v>95</v>
      </c>
      <c r="K897">
        <v>4</v>
      </c>
      <c r="L897">
        <v>2499</v>
      </c>
      <c r="M897" s="3">
        <v>0</v>
      </c>
      <c r="N897">
        <v>9996</v>
      </c>
      <c r="O897">
        <v>6000</v>
      </c>
      <c r="P897">
        <v>3996</v>
      </c>
      <c r="Q897" t="s">
        <v>66</v>
      </c>
      <c r="R897" t="s">
        <v>137</v>
      </c>
      <c r="S897">
        <v>3</v>
      </c>
    </row>
    <row r="898" spans="1:19">
      <c r="A898" t="s">
        <v>1243</v>
      </c>
      <c r="B898" s="2">
        <v>45929</v>
      </c>
      <c r="C898" t="s">
        <v>436</v>
      </c>
      <c r="D898" t="s">
        <v>437</v>
      </c>
      <c r="E898" t="s">
        <v>32</v>
      </c>
      <c r="F898">
        <v>44</v>
      </c>
      <c r="G898" t="s">
        <v>73</v>
      </c>
      <c r="H898" t="s">
        <v>74</v>
      </c>
      <c r="I898" t="s">
        <v>75</v>
      </c>
      <c r="J898" t="s">
        <v>86</v>
      </c>
      <c r="K898">
        <v>4</v>
      </c>
      <c r="L898">
        <v>499</v>
      </c>
      <c r="M898" s="3">
        <v>0.15</v>
      </c>
      <c r="N898">
        <v>1696.6</v>
      </c>
      <c r="O898">
        <v>1200</v>
      </c>
      <c r="P898">
        <v>496.6</v>
      </c>
      <c r="Q898" t="s">
        <v>37</v>
      </c>
      <c r="R898" t="s">
        <v>51</v>
      </c>
      <c r="S898">
        <v>2</v>
      </c>
    </row>
    <row r="899" spans="1:19">
      <c r="A899" t="s">
        <v>1244</v>
      </c>
      <c r="B899" s="2">
        <v>45923</v>
      </c>
      <c r="C899" t="s">
        <v>585</v>
      </c>
      <c r="D899" t="s">
        <v>586</v>
      </c>
      <c r="E899" t="s">
        <v>32</v>
      </c>
      <c r="F899">
        <v>31</v>
      </c>
      <c r="G899" t="s">
        <v>48</v>
      </c>
      <c r="H899" t="s">
        <v>42</v>
      </c>
      <c r="I899" t="s">
        <v>43</v>
      </c>
      <c r="J899" t="s">
        <v>95</v>
      </c>
      <c r="K899">
        <v>1</v>
      </c>
      <c r="L899">
        <v>2499</v>
      </c>
      <c r="M899" s="3">
        <v>0.2</v>
      </c>
      <c r="N899">
        <v>1999.2</v>
      </c>
      <c r="O899">
        <v>1500</v>
      </c>
      <c r="P899">
        <v>499.2</v>
      </c>
      <c r="Q899" t="s">
        <v>69</v>
      </c>
      <c r="R899" t="s">
        <v>28</v>
      </c>
      <c r="S899">
        <v>1</v>
      </c>
    </row>
    <row r="900" spans="1:19">
      <c r="A900" t="s">
        <v>1245</v>
      </c>
      <c r="B900" s="2">
        <v>45833</v>
      </c>
      <c r="C900" t="s">
        <v>300</v>
      </c>
      <c r="D900" t="s">
        <v>301</v>
      </c>
      <c r="E900" t="s">
        <v>22</v>
      </c>
      <c r="F900">
        <v>24</v>
      </c>
      <c r="G900" t="s">
        <v>48</v>
      </c>
      <c r="H900" t="s">
        <v>42</v>
      </c>
      <c r="I900" t="s">
        <v>163</v>
      </c>
      <c r="J900" t="s">
        <v>290</v>
      </c>
      <c r="K900">
        <v>1</v>
      </c>
      <c r="L900">
        <v>1999</v>
      </c>
      <c r="M900" s="3">
        <v>0</v>
      </c>
      <c r="N900">
        <v>1999</v>
      </c>
      <c r="O900">
        <v>1200</v>
      </c>
      <c r="P900">
        <v>799</v>
      </c>
      <c r="Q900" t="s">
        <v>66</v>
      </c>
      <c r="R900" t="s">
        <v>28</v>
      </c>
      <c r="S900">
        <v>4</v>
      </c>
    </row>
    <row r="901" spans="1:19">
      <c r="A901" t="s">
        <v>1246</v>
      </c>
      <c r="B901" s="2">
        <v>45967</v>
      </c>
      <c r="C901" t="s">
        <v>178</v>
      </c>
      <c r="D901" t="s">
        <v>179</v>
      </c>
      <c r="E901" t="s">
        <v>32</v>
      </c>
      <c r="F901">
        <v>29</v>
      </c>
      <c r="G901" t="s">
        <v>180</v>
      </c>
      <c r="H901" t="s">
        <v>181</v>
      </c>
      <c r="I901" t="s">
        <v>43</v>
      </c>
      <c r="J901" t="s">
        <v>44</v>
      </c>
      <c r="K901">
        <v>3</v>
      </c>
      <c r="L901">
        <v>1599</v>
      </c>
      <c r="M901" s="3">
        <v>0.15</v>
      </c>
      <c r="N901">
        <v>4077.45</v>
      </c>
      <c r="O901">
        <v>2850</v>
      </c>
      <c r="P901">
        <v>1227.45</v>
      </c>
      <c r="Q901" t="s">
        <v>69</v>
      </c>
      <c r="R901" t="s">
        <v>28</v>
      </c>
      <c r="S901">
        <v>1</v>
      </c>
    </row>
    <row r="902" spans="1:19">
      <c r="A902" t="s">
        <v>1247</v>
      </c>
      <c r="B902" s="2">
        <v>45685</v>
      </c>
      <c r="C902" t="s">
        <v>603</v>
      </c>
      <c r="D902" t="s">
        <v>604</v>
      </c>
      <c r="E902" t="s">
        <v>32</v>
      </c>
      <c r="F902">
        <v>33</v>
      </c>
      <c r="G902" t="s">
        <v>41</v>
      </c>
      <c r="H902" t="s">
        <v>42</v>
      </c>
      <c r="I902" t="s">
        <v>25</v>
      </c>
      <c r="J902" t="s">
        <v>56</v>
      </c>
      <c r="K902">
        <v>1</v>
      </c>
      <c r="L902">
        <v>899</v>
      </c>
      <c r="M902" s="3">
        <v>0.05</v>
      </c>
      <c r="N902">
        <v>854.05</v>
      </c>
      <c r="O902">
        <v>550</v>
      </c>
      <c r="P902">
        <v>304.05</v>
      </c>
      <c r="Q902" t="s">
        <v>27</v>
      </c>
      <c r="R902" t="s">
        <v>28</v>
      </c>
      <c r="S902">
        <v>2</v>
      </c>
    </row>
    <row r="903" spans="1:19">
      <c r="A903" t="s">
        <v>1248</v>
      </c>
      <c r="B903" s="2">
        <v>45966</v>
      </c>
      <c r="C903" t="s">
        <v>363</v>
      </c>
      <c r="D903" t="s">
        <v>155</v>
      </c>
      <c r="E903" t="s">
        <v>32</v>
      </c>
      <c r="F903">
        <v>43</v>
      </c>
      <c r="G903" t="s">
        <v>48</v>
      </c>
      <c r="H903" t="s">
        <v>42</v>
      </c>
      <c r="I903" t="s">
        <v>163</v>
      </c>
      <c r="J903" t="s">
        <v>234</v>
      </c>
      <c r="K903">
        <v>2</v>
      </c>
      <c r="L903">
        <v>999</v>
      </c>
      <c r="M903" s="3">
        <v>0</v>
      </c>
      <c r="N903">
        <v>1998</v>
      </c>
      <c r="O903">
        <v>1200</v>
      </c>
      <c r="P903">
        <v>798</v>
      </c>
      <c r="Q903" t="s">
        <v>66</v>
      </c>
      <c r="R903" t="s">
        <v>28</v>
      </c>
      <c r="S903">
        <v>4</v>
      </c>
    </row>
    <row r="904" spans="1:19">
      <c r="A904" t="s">
        <v>1249</v>
      </c>
      <c r="B904" s="2">
        <v>46113</v>
      </c>
      <c r="C904" t="s">
        <v>113</v>
      </c>
      <c r="D904" t="s">
        <v>114</v>
      </c>
      <c r="E904" t="s">
        <v>32</v>
      </c>
      <c r="F904">
        <v>18</v>
      </c>
      <c r="G904" t="s">
        <v>115</v>
      </c>
      <c r="H904" t="s">
        <v>116</v>
      </c>
      <c r="I904" t="s">
        <v>25</v>
      </c>
      <c r="J904" t="s">
        <v>56</v>
      </c>
      <c r="K904">
        <v>2</v>
      </c>
      <c r="L904">
        <v>899</v>
      </c>
      <c r="M904" s="3">
        <v>0.05</v>
      </c>
      <c r="N904">
        <v>1708.1</v>
      </c>
      <c r="O904">
        <v>1100</v>
      </c>
      <c r="P904">
        <v>608.1</v>
      </c>
      <c r="Q904" t="s">
        <v>66</v>
      </c>
      <c r="R904" t="s">
        <v>28</v>
      </c>
      <c r="S904">
        <v>4</v>
      </c>
    </row>
    <row r="905" spans="1:19">
      <c r="A905" t="s">
        <v>1250</v>
      </c>
      <c r="B905" s="2">
        <v>46241</v>
      </c>
      <c r="C905" t="s">
        <v>264</v>
      </c>
      <c r="D905" t="s">
        <v>265</v>
      </c>
      <c r="E905" t="s">
        <v>22</v>
      </c>
      <c r="F905">
        <v>48</v>
      </c>
      <c r="G905" t="s">
        <v>23</v>
      </c>
      <c r="H905" t="s">
        <v>24</v>
      </c>
      <c r="I905" t="s">
        <v>43</v>
      </c>
      <c r="J905" t="s">
        <v>281</v>
      </c>
      <c r="K905">
        <v>2</v>
      </c>
      <c r="L905">
        <v>2999</v>
      </c>
      <c r="M905" s="3">
        <v>0.1</v>
      </c>
      <c r="N905">
        <v>5398.2</v>
      </c>
      <c r="O905">
        <v>3600</v>
      </c>
      <c r="P905">
        <v>1798.2</v>
      </c>
      <c r="Q905" t="s">
        <v>66</v>
      </c>
      <c r="R905" t="s">
        <v>28</v>
      </c>
      <c r="S905">
        <v>1</v>
      </c>
    </row>
    <row r="906" spans="1:19">
      <c r="A906" t="s">
        <v>1251</v>
      </c>
      <c r="B906" s="2">
        <v>46165</v>
      </c>
      <c r="C906" t="s">
        <v>595</v>
      </c>
      <c r="D906" t="s">
        <v>596</v>
      </c>
      <c r="E906" t="s">
        <v>22</v>
      </c>
      <c r="F906">
        <v>25</v>
      </c>
      <c r="G906" t="s">
        <v>180</v>
      </c>
      <c r="H906" t="s">
        <v>181</v>
      </c>
      <c r="I906" t="s">
        <v>75</v>
      </c>
      <c r="J906" t="s">
        <v>76</v>
      </c>
      <c r="K906">
        <v>4</v>
      </c>
      <c r="L906">
        <v>399</v>
      </c>
      <c r="M906" s="3">
        <v>0.15</v>
      </c>
      <c r="N906">
        <v>1356.6</v>
      </c>
      <c r="O906">
        <v>880</v>
      </c>
      <c r="P906">
        <v>476.6</v>
      </c>
      <c r="Q906" t="s">
        <v>50</v>
      </c>
      <c r="R906" t="s">
        <v>28</v>
      </c>
      <c r="S906">
        <v>5</v>
      </c>
    </row>
    <row r="907" spans="1:19">
      <c r="A907" t="s">
        <v>1252</v>
      </c>
      <c r="B907" s="2">
        <v>46155</v>
      </c>
      <c r="C907" t="s">
        <v>623</v>
      </c>
      <c r="D907" t="s">
        <v>624</v>
      </c>
      <c r="E907" t="s">
        <v>22</v>
      </c>
      <c r="F907">
        <v>52</v>
      </c>
      <c r="G907" t="s">
        <v>60</v>
      </c>
      <c r="H907" t="s">
        <v>61</v>
      </c>
      <c r="I907" t="s">
        <v>25</v>
      </c>
      <c r="J907" t="s">
        <v>68</v>
      </c>
      <c r="K907">
        <v>4</v>
      </c>
      <c r="L907">
        <v>2999</v>
      </c>
      <c r="M907" s="3">
        <v>0.15</v>
      </c>
      <c r="N907">
        <v>10196.6</v>
      </c>
      <c r="O907">
        <v>7600</v>
      </c>
      <c r="P907">
        <v>2596.6</v>
      </c>
      <c r="Q907" t="s">
        <v>50</v>
      </c>
      <c r="R907" t="s">
        <v>28</v>
      </c>
      <c r="S907">
        <v>5</v>
      </c>
    </row>
    <row r="908" spans="1:19">
      <c r="A908" t="s">
        <v>1253</v>
      </c>
      <c r="B908" s="2">
        <v>45677</v>
      </c>
      <c r="C908" t="s">
        <v>178</v>
      </c>
      <c r="D908" t="s">
        <v>179</v>
      </c>
      <c r="E908" t="s">
        <v>32</v>
      </c>
      <c r="F908">
        <v>29</v>
      </c>
      <c r="G908" t="s">
        <v>180</v>
      </c>
      <c r="H908" t="s">
        <v>181</v>
      </c>
      <c r="I908" t="s">
        <v>43</v>
      </c>
      <c r="J908" t="s">
        <v>281</v>
      </c>
      <c r="K908">
        <v>1</v>
      </c>
      <c r="L908">
        <v>2999</v>
      </c>
      <c r="M908" s="3">
        <v>0.2</v>
      </c>
      <c r="N908">
        <v>2399.1999999999998</v>
      </c>
      <c r="O908">
        <v>1800</v>
      </c>
      <c r="P908">
        <v>599.20000000000005</v>
      </c>
      <c r="Q908" t="s">
        <v>66</v>
      </c>
      <c r="R908" t="s">
        <v>28</v>
      </c>
      <c r="S908">
        <v>5</v>
      </c>
    </row>
    <row r="909" spans="1:19">
      <c r="A909" t="s">
        <v>1254</v>
      </c>
      <c r="B909" s="2">
        <v>45777</v>
      </c>
      <c r="C909" t="s">
        <v>817</v>
      </c>
      <c r="D909" t="s">
        <v>818</v>
      </c>
      <c r="E909" t="s">
        <v>22</v>
      </c>
      <c r="F909">
        <v>38</v>
      </c>
      <c r="G909" t="s">
        <v>41</v>
      </c>
      <c r="H909" t="s">
        <v>42</v>
      </c>
      <c r="I909" t="s">
        <v>43</v>
      </c>
      <c r="J909" t="s">
        <v>197</v>
      </c>
      <c r="K909">
        <v>4</v>
      </c>
      <c r="L909">
        <v>1799</v>
      </c>
      <c r="M909" s="3">
        <v>0.15</v>
      </c>
      <c r="N909">
        <v>6116.6</v>
      </c>
      <c r="O909">
        <v>4200</v>
      </c>
      <c r="P909">
        <v>1916.6</v>
      </c>
      <c r="Q909" t="s">
        <v>66</v>
      </c>
      <c r="R909" t="s">
        <v>28</v>
      </c>
      <c r="S909">
        <v>3</v>
      </c>
    </row>
    <row r="910" spans="1:19">
      <c r="A910" t="s">
        <v>1255</v>
      </c>
      <c r="B910" s="2">
        <v>45823</v>
      </c>
      <c r="C910" t="s">
        <v>317</v>
      </c>
      <c r="D910" t="s">
        <v>318</v>
      </c>
      <c r="E910" t="s">
        <v>22</v>
      </c>
      <c r="F910">
        <v>31</v>
      </c>
      <c r="G910" t="s">
        <v>33</v>
      </c>
      <c r="H910" t="s">
        <v>34</v>
      </c>
      <c r="I910" t="s">
        <v>117</v>
      </c>
      <c r="J910" t="s">
        <v>238</v>
      </c>
      <c r="K910">
        <v>4</v>
      </c>
      <c r="L910">
        <v>2499</v>
      </c>
      <c r="M910" s="3">
        <v>0</v>
      </c>
      <c r="N910">
        <v>9996</v>
      </c>
      <c r="O910">
        <v>6000</v>
      </c>
      <c r="P910">
        <v>3996</v>
      </c>
      <c r="Q910" t="s">
        <v>37</v>
      </c>
      <c r="R910" t="s">
        <v>28</v>
      </c>
      <c r="S910">
        <v>4</v>
      </c>
    </row>
    <row r="911" spans="1:19">
      <c r="A911" t="s">
        <v>1256</v>
      </c>
      <c r="B911" s="2">
        <v>45882</v>
      </c>
      <c r="C911" t="s">
        <v>199</v>
      </c>
      <c r="D911" t="s">
        <v>200</v>
      </c>
      <c r="E911" t="s">
        <v>22</v>
      </c>
      <c r="F911">
        <v>42</v>
      </c>
      <c r="G911" t="s">
        <v>33</v>
      </c>
      <c r="H911" t="s">
        <v>34</v>
      </c>
      <c r="I911" t="s">
        <v>35</v>
      </c>
      <c r="J911" t="s">
        <v>136</v>
      </c>
      <c r="K911">
        <v>2</v>
      </c>
      <c r="L911">
        <v>799</v>
      </c>
      <c r="M911" s="3">
        <v>0.2</v>
      </c>
      <c r="N911">
        <v>1278.4000000000001</v>
      </c>
      <c r="O911">
        <v>900</v>
      </c>
      <c r="P911">
        <v>378.4</v>
      </c>
      <c r="Q911" t="s">
        <v>50</v>
      </c>
      <c r="R911" t="s">
        <v>77</v>
      </c>
      <c r="S911">
        <v>3</v>
      </c>
    </row>
    <row r="912" spans="1:19">
      <c r="A912" t="s">
        <v>1257</v>
      </c>
      <c r="B912" s="2">
        <v>46084</v>
      </c>
      <c r="C912" t="s">
        <v>1185</v>
      </c>
      <c r="D912" t="s">
        <v>437</v>
      </c>
      <c r="E912" t="s">
        <v>22</v>
      </c>
      <c r="F912">
        <v>49</v>
      </c>
      <c r="G912" t="s">
        <v>23</v>
      </c>
      <c r="H912" t="s">
        <v>24</v>
      </c>
      <c r="I912" t="s">
        <v>25</v>
      </c>
      <c r="J912" t="s">
        <v>62</v>
      </c>
      <c r="K912">
        <v>3</v>
      </c>
      <c r="L912">
        <v>1299</v>
      </c>
      <c r="M912" s="3">
        <v>0.15</v>
      </c>
      <c r="N912">
        <v>3312.45</v>
      </c>
      <c r="O912">
        <v>2400</v>
      </c>
      <c r="P912">
        <v>912.45</v>
      </c>
      <c r="Q912" t="s">
        <v>37</v>
      </c>
      <c r="R912" t="s">
        <v>137</v>
      </c>
      <c r="S912">
        <v>2</v>
      </c>
    </row>
    <row r="913" spans="1:19">
      <c r="A913" t="s">
        <v>1258</v>
      </c>
      <c r="B913" s="2">
        <v>45790</v>
      </c>
      <c r="C913" t="s">
        <v>88</v>
      </c>
      <c r="D913" t="s">
        <v>89</v>
      </c>
      <c r="E913" t="s">
        <v>32</v>
      </c>
      <c r="F913">
        <v>53</v>
      </c>
      <c r="G913" t="s">
        <v>41</v>
      </c>
      <c r="H913" t="s">
        <v>42</v>
      </c>
      <c r="I913" t="s">
        <v>43</v>
      </c>
      <c r="J913" t="s">
        <v>44</v>
      </c>
      <c r="K913">
        <v>1</v>
      </c>
      <c r="L913">
        <v>1599</v>
      </c>
      <c r="M913" s="3">
        <v>0.15</v>
      </c>
      <c r="N913">
        <v>1359.15</v>
      </c>
      <c r="O913">
        <v>950</v>
      </c>
      <c r="P913">
        <v>409.15</v>
      </c>
      <c r="Q913" t="s">
        <v>27</v>
      </c>
      <c r="R913" t="s">
        <v>28</v>
      </c>
      <c r="S913">
        <v>5</v>
      </c>
    </row>
    <row r="914" spans="1:19">
      <c r="A914" t="s">
        <v>1259</v>
      </c>
      <c r="B914" s="2">
        <v>45968</v>
      </c>
      <c r="C914" t="s">
        <v>64</v>
      </c>
      <c r="D914" t="s">
        <v>65</v>
      </c>
      <c r="E914" t="s">
        <v>32</v>
      </c>
      <c r="F914">
        <v>31</v>
      </c>
      <c r="G914" t="s">
        <v>33</v>
      </c>
      <c r="H914" t="s">
        <v>34</v>
      </c>
      <c r="I914" t="s">
        <v>25</v>
      </c>
      <c r="J914" t="s">
        <v>56</v>
      </c>
      <c r="K914">
        <v>4</v>
      </c>
      <c r="L914">
        <v>899</v>
      </c>
      <c r="M914" s="3">
        <v>0.15</v>
      </c>
      <c r="N914">
        <v>3056.6</v>
      </c>
      <c r="O914">
        <v>2200</v>
      </c>
      <c r="P914">
        <v>856.6</v>
      </c>
      <c r="Q914" t="s">
        <v>27</v>
      </c>
      <c r="R914" t="s">
        <v>28</v>
      </c>
      <c r="S914">
        <v>1</v>
      </c>
    </row>
    <row r="915" spans="1:19">
      <c r="A915" t="s">
        <v>1260</v>
      </c>
      <c r="B915" s="2">
        <v>45820</v>
      </c>
      <c r="C915" t="s">
        <v>20</v>
      </c>
      <c r="D915" t="s">
        <v>21</v>
      </c>
      <c r="E915" t="s">
        <v>22</v>
      </c>
      <c r="F915">
        <v>52</v>
      </c>
      <c r="G915" t="s">
        <v>23</v>
      </c>
      <c r="H915" t="s">
        <v>24</v>
      </c>
      <c r="I915" t="s">
        <v>163</v>
      </c>
      <c r="J915" t="s">
        <v>214</v>
      </c>
      <c r="K915">
        <v>3</v>
      </c>
      <c r="L915">
        <v>1499</v>
      </c>
      <c r="M915" s="3">
        <v>0.1</v>
      </c>
      <c r="N915">
        <v>4047.3</v>
      </c>
      <c r="O915">
        <v>2700</v>
      </c>
      <c r="P915">
        <v>1347.3</v>
      </c>
      <c r="Q915" t="s">
        <v>27</v>
      </c>
      <c r="R915" t="s">
        <v>137</v>
      </c>
      <c r="S915">
        <v>1</v>
      </c>
    </row>
    <row r="916" spans="1:19">
      <c r="A916" t="s">
        <v>1261</v>
      </c>
      <c r="B916" s="2">
        <v>45890</v>
      </c>
      <c r="C916" t="s">
        <v>817</v>
      </c>
      <c r="D916" t="s">
        <v>818</v>
      </c>
      <c r="E916" t="s">
        <v>22</v>
      </c>
      <c r="F916">
        <v>38</v>
      </c>
      <c r="G916" t="s">
        <v>41</v>
      </c>
      <c r="H916" t="s">
        <v>42</v>
      </c>
      <c r="I916" t="s">
        <v>163</v>
      </c>
      <c r="J916" t="s">
        <v>164</v>
      </c>
      <c r="K916">
        <v>4</v>
      </c>
      <c r="L916">
        <v>3499</v>
      </c>
      <c r="M916" s="3">
        <v>0</v>
      </c>
      <c r="N916">
        <v>13996</v>
      </c>
      <c r="O916">
        <v>8800</v>
      </c>
      <c r="P916">
        <v>5196</v>
      </c>
      <c r="Q916" t="s">
        <v>69</v>
      </c>
      <c r="R916" t="s">
        <v>28</v>
      </c>
      <c r="S916">
        <v>4</v>
      </c>
    </row>
    <row r="917" spans="1:19">
      <c r="A917" t="s">
        <v>1262</v>
      </c>
      <c r="B917" s="2">
        <v>46228</v>
      </c>
      <c r="C917" t="s">
        <v>641</v>
      </c>
      <c r="D917" t="s">
        <v>72</v>
      </c>
      <c r="E917" t="s">
        <v>32</v>
      </c>
      <c r="F917">
        <v>51</v>
      </c>
      <c r="G917" t="s">
        <v>115</v>
      </c>
      <c r="H917" t="s">
        <v>116</v>
      </c>
      <c r="I917" t="s">
        <v>163</v>
      </c>
      <c r="J917" t="s">
        <v>164</v>
      </c>
      <c r="K917">
        <v>3</v>
      </c>
      <c r="L917">
        <v>3499</v>
      </c>
      <c r="M917" s="3">
        <v>0</v>
      </c>
      <c r="N917">
        <v>10497</v>
      </c>
      <c r="O917">
        <v>6600</v>
      </c>
      <c r="P917">
        <v>3897</v>
      </c>
      <c r="Q917" t="s">
        <v>37</v>
      </c>
      <c r="R917" t="s">
        <v>77</v>
      </c>
      <c r="S917">
        <v>1</v>
      </c>
    </row>
    <row r="918" spans="1:19">
      <c r="A918" t="s">
        <v>1263</v>
      </c>
      <c r="B918" s="2">
        <v>45766</v>
      </c>
      <c r="C918" t="s">
        <v>506</v>
      </c>
      <c r="D918" t="s">
        <v>414</v>
      </c>
      <c r="E918" t="s">
        <v>22</v>
      </c>
      <c r="F918">
        <v>42</v>
      </c>
      <c r="G918" t="s">
        <v>180</v>
      </c>
      <c r="H918" t="s">
        <v>181</v>
      </c>
      <c r="I918" t="s">
        <v>35</v>
      </c>
      <c r="J918" t="s">
        <v>136</v>
      </c>
      <c r="K918">
        <v>4</v>
      </c>
      <c r="L918">
        <v>799</v>
      </c>
      <c r="M918" s="3">
        <v>0</v>
      </c>
      <c r="N918">
        <v>3196</v>
      </c>
      <c r="O918">
        <v>1800</v>
      </c>
      <c r="P918">
        <v>1396</v>
      </c>
      <c r="Q918" t="s">
        <v>50</v>
      </c>
      <c r="R918" t="s">
        <v>28</v>
      </c>
      <c r="S918">
        <v>1</v>
      </c>
    </row>
    <row r="919" spans="1:19">
      <c r="A919" t="s">
        <v>1264</v>
      </c>
      <c r="B919" s="2">
        <v>45778</v>
      </c>
      <c r="C919" t="s">
        <v>277</v>
      </c>
      <c r="D919" t="s">
        <v>278</v>
      </c>
      <c r="E919" t="s">
        <v>32</v>
      </c>
      <c r="F919">
        <v>33</v>
      </c>
      <c r="G919" t="s">
        <v>105</v>
      </c>
      <c r="H919" t="s">
        <v>105</v>
      </c>
      <c r="I919" t="s">
        <v>25</v>
      </c>
      <c r="J919" t="s">
        <v>68</v>
      </c>
      <c r="K919">
        <v>1</v>
      </c>
      <c r="L919">
        <v>2999</v>
      </c>
      <c r="M919" s="3">
        <v>0.05</v>
      </c>
      <c r="N919">
        <v>2849.05</v>
      </c>
      <c r="O919">
        <v>1900</v>
      </c>
      <c r="P919">
        <v>949.05</v>
      </c>
      <c r="Q919" t="s">
        <v>27</v>
      </c>
      <c r="R919" t="s">
        <v>77</v>
      </c>
      <c r="S919">
        <v>2</v>
      </c>
    </row>
    <row r="920" spans="1:19">
      <c r="A920" t="s">
        <v>1265</v>
      </c>
      <c r="B920" s="2">
        <v>46168</v>
      </c>
      <c r="C920" t="s">
        <v>623</v>
      </c>
      <c r="D920" t="s">
        <v>624</v>
      </c>
      <c r="E920" t="s">
        <v>22</v>
      </c>
      <c r="F920">
        <v>52</v>
      </c>
      <c r="G920" t="s">
        <v>60</v>
      </c>
      <c r="H920" t="s">
        <v>61</v>
      </c>
      <c r="I920" t="s">
        <v>117</v>
      </c>
      <c r="J920" t="s">
        <v>238</v>
      </c>
      <c r="K920">
        <v>4</v>
      </c>
      <c r="L920">
        <v>2499</v>
      </c>
      <c r="M920" s="3">
        <v>0.2</v>
      </c>
      <c r="N920">
        <v>7996.8</v>
      </c>
      <c r="O920">
        <v>6000</v>
      </c>
      <c r="P920">
        <v>1996.8</v>
      </c>
      <c r="Q920" t="s">
        <v>69</v>
      </c>
      <c r="R920" t="s">
        <v>28</v>
      </c>
      <c r="S920">
        <v>3</v>
      </c>
    </row>
    <row r="921" spans="1:19">
      <c r="A921" t="s">
        <v>1266</v>
      </c>
      <c r="B921" s="2">
        <v>46107</v>
      </c>
      <c r="C921" t="s">
        <v>723</v>
      </c>
      <c r="D921" t="s">
        <v>724</v>
      </c>
      <c r="E921" t="s">
        <v>32</v>
      </c>
      <c r="F921">
        <v>52</v>
      </c>
      <c r="G921" t="s">
        <v>55</v>
      </c>
      <c r="H921" t="s">
        <v>34</v>
      </c>
      <c r="I921" t="s">
        <v>25</v>
      </c>
      <c r="J921" t="s">
        <v>62</v>
      </c>
      <c r="K921">
        <v>1</v>
      </c>
      <c r="L921">
        <v>1299</v>
      </c>
      <c r="M921" s="3">
        <v>0.05</v>
      </c>
      <c r="N921">
        <v>1234.05</v>
      </c>
      <c r="O921">
        <v>800</v>
      </c>
      <c r="P921">
        <v>434.05</v>
      </c>
      <c r="Q921" t="s">
        <v>66</v>
      </c>
      <c r="R921" t="s">
        <v>28</v>
      </c>
      <c r="S921">
        <v>1</v>
      </c>
    </row>
    <row r="922" spans="1:19">
      <c r="A922" t="s">
        <v>1267</v>
      </c>
      <c r="B922" s="2">
        <v>46175</v>
      </c>
      <c r="C922" t="s">
        <v>189</v>
      </c>
      <c r="D922" t="s">
        <v>190</v>
      </c>
      <c r="E922" t="s">
        <v>32</v>
      </c>
      <c r="F922">
        <v>22</v>
      </c>
      <c r="G922" t="s">
        <v>115</v>
      </c>
      <c r="H922" t="s">
        <v>116</v>
      </c>
      <c r="I922" t="s">
        <v>35</v>
      </c>
      <c r="J922" t="s">
        <v>36</v>
      </c>
      <c r="K922">
        <v>3</v>
      </c>
      <c r="L922">
        <v>599</v>
      </c>
      <c r="M922" s="3">
        <v>0.1</v>
      </c>
      <c r="N922">
        <v>1617.3</v>
      </c>
      <c r="O922">
        <v>960</v>
      </c>
      <c r="P922">
        <v>657.3</v>
      </c>
      <c r="Q922" t="s">
        <v>27</v>
      </c>
      <c r="R922" t="s">
        <v>28</v>
      </c>
      <c r="S922">
        <v>3</v>
      </c>
    </row>
    <row r="923" spans="1:19">
      <c r="A923" t="s">
        <v>1268</v>
      </c>
      <c r="B923" s="2">
        <v>46200</v>
      </c>
      <c r="C923" t="s">
        <v>491</v>
      </c>
      <c r="D923" t="s">
        <v>92</v>
      </c>
      <c r="E923" t="s">
        <v>22</v>
      </c>
      <c r="F923">
        <v>25</v>
      </c>
      <c r="G923" t="s">
        <v>23</v>
      </c>
      <c r="H923" t="s">
        <v>24</v>
      </c>
      <c r="I923" t="s">
        <v>163</v>
      </c>
      <c r="J923" t="s">
        <v>214</v>
      </c>
      <c r="K923">
        <v>2</v>
      </c>
      <c r="L923">
        <v>1499</v>
      </c>
      <c r="M923" s="3">
        <v>0.05</v>
      </c>
      <c r="N923">
        <v>2848.1</v>
      </c>
      <c r="O923">
        <v>1800</v>
      </c>
      <c r="P923">
        <v>1048.0999999999999</v>
      </c>
      <c r="Q923" t="s">
        <v>66</v>
      </c>
      <c r="R923" t="s">
        <v>137</v>
      </c>
      <c r="S923">
        <v>2</v>
      </c>
    </row>
    <row r="924" spans="1:19">
      <c r="A924" t="s">
        <v>1269</v>
      </c>
      <c r="B924" s="2">
        <v>46186</v>
      </c>
      <c r="C924" t="s">
        <v>488</v>
      </c>
      <c r="D924" t="s">
        <v>489</v>
      </c>
      <c r="E924" t="s">
        <v>22</v>
      </c>
      <c r="F924">
        <v>48</v>
      </c>
      <c r="G924" t="s">
        <v>115</v>
      </c>
      <c r="H924" t="s">
        <v>116</v>
      </c>
      <c r="I924" t="s">
        <v>163</v>
      </c>
      <c r="J924" t="s">
        <v>234</v>
      </c>
      <c r="K924">
        <v>4</v>
      </c>
      <c r="L924">
        <v>999</v>
      </c>
      <c r="M924" s="3">
        <v>0.15</v>
      </c>
      <c r="N924">
        <v>3396.6</v>
      </c>
      <c r="O924">
        <v>2400</v>
      </c>
      <c r="P924">
        <v>996.6</v>
      </c>
      <c r="Q924" t="s">
        <v>37</v>
      </c>
      <c r="R924" t="s">
        <v>77</v>
      </c>
      <c r="S924">
        <v>4</v>
      </c>
    </row>
    <row r="925" spans="1:19">
      <c r="A925" t="s">
        <v>1270</v>
      </c>
      <c r="B925" s="2">
        <v>46004</v>
      </c>
      <c r="C925" t="s">
        <v>354</v>
      </c>
      <c r="D925" t="s">
        <v>339</v>
      </c>
      <c r="E925" t="s">
        <v>32</v>
      </c>
      <c r="F925">
        <v>25</v>
      </c>
      <c r="G925" t="s">
        <v>115</v>
      </c>
      <c r="H925" t="s">
        <v>116</v>
      </c>
      <c r="I925" t="s">
        <v>25</v>
      </c>
      <c r="J925" t="s">
        <v>156</v>
      </c>
      <c r="K925">
        <v>1</v>
      </c>
      <c r="L925">
        <v>1999</v>
      </c>
      <c r="M925" s="3">
        <v>0</v>
      </c>
      <c r="N925">
        <v>1999</v>
      </c>
      <c r="O925">
        <v>1300</v>
      </c>
      <c r="P925">
        <v>699</v>
      </c>
      <c r="Q925" t="s">
        <v>37</v>
      </c>
      <c r="R925" t="s">
        <v>28</v>
      </c>
      <c r="S925">
        <v>2</v>
      </c>
    </row>
    <row r="926" spans="1:19">
      <c r="A926" t="s">
        <v>1271</v>
      </c>
      <c r="B926" s="2">
        <v>45812</v>
      </c>
      <c r="C926" t="s">
        <v>1024</v>
      </c>
      <c r="D926" t="s">
        <v>1025</v>
      </c>
      <c r="E926" t="s">
        <v>22</v>
      </c>
      <c r="F926">
        <v>35</v>
      </c>
      <c r="G926" t="s">
        <v>93</v>
      </c>
      <c r="H926" t="s">
        <v>94</v>
      </c>
      <c r="I926" t="s">
        <v>25</v>
      </c>
      <c r="J926" t="s">
        <v>68</v>
      </c>
      <c r="K926">
        <v>4</v>
      </c>
      <c r="L926">
        <v>2999</v>
      </c>
      <c r="M926" s="3">
        <v>0</v>
      </c>
      <c r="N926">
        <v>11996</v>
      </c>
      <c r="O926">
        <v>7600</v>
      </c>
      <c r="P926">
        <v>4396</v>
      </c>
      <c r="Q926" t="s">
        <v>50</v>
      </c>
      <c r="R926" t="s">
        <v>28</v>
      </c>
      <c r="S926">
        <v>5</v>
      </c>
    </row>
    <row r="927" spans="1:19">
      <c r="A927" t="s">
        <v>1272</v>
      </c>
      <c r="B927" s="2">
        <v>45969</v>
      </c>
      <c r="C927" t="s">
        <v>204</v>
      </c>
      <c r="D927" t="s">
        <v>205</v>
      </c>
      <c r="E927" t="s">
        <v>22</v>
      </c>
      <c r="F927">
        <v>45</v>
      </c>
      <c r="G927" t="s">
        <v>81</v>
      </c>
      <c r="H927" t="s">
        <v>82</v>
      </c>
      <c r="I927" t="s">
        <v>163</v>
      </c>
      <c r="J927" t="s">
        <v>234</v>
      </c>
      <c r="K927">
        <v>4</v>
      </c>
      <c r="L927">
        <v>999</v>
      </c>
      <c r="M927" s="3">
        <v>0.2</v>
      </c>
      <c r="N927">
        <v>3196.8</v>
      </c>
      <c r="O927">
        <v>2400</v>
      </c>
      <c r="P927">
        <v>796.8</v>
      </c>
      <c r="Q927" t="s">
        <v>37</v>
      </c>
      <c r="R927" t="s">
        <v>77</v>
      </c>
      <c r="S927">
        <v>1</v>
      </c>
    </row>
    <row r="928" spans="1:19">
      <c r="A928" t="s">
        <v>1273</v>
      </c>
      <c r="B928" s="2">
        <v>46114</v>
      </c>
      <c r="C928" t="s">
        <v>120</v>
      </c>
      <c r="D928" t="s">
        <v>121</v>
      </c>
      <c r="E928" t="s">
        <v>32</v>
      </c>
      <c r="F928">
        <v>35</v>
      </c>
      <c r="G928" t="s">
        <v>93</v>
      </c>
      <c r="H928" t="s">
        <v>94</v>
      </c>
      <c r="I928" t="s">
        <v>35</v>
      </c>
      <c r="J928" t="s">
        <v>108</v>
      </c>
      <c r="K928">
        <v>2</v>
      </c>
      <c r="L928">
        <v>699</v>
      </c>
      <c r="M928" s="3">
        <v>0.15</v>
      </c>
      <c r="N928">
        <v>1188.3</v>
      </c>
      <c r="O928">
        <v>760</v>
      </c>
      <c r="P928">
        <v>428.3</v>
      </c>
      <c r="Q928" t="s">
        <v>27</v>
      </c>
      <c r="R928" t="s">
        <v>77</v>
      </c>
      <c r="S928">
        <v>4</v>
      </c>
    </row>
    <row r="929" spans="1:19">
      <c r="A929" t="s">
        <v>1274</v>
      </c>
      <c r="B929" s="2">
        <v>45966</v>
      </c>
      <c r="C929" t="s">
        <v>199</v>
      </c>
      <c r="D929" t="s">
        <v>200</v>
      </c>
      <c r="E929" t="s">
        <v>22</v>
      </c>
      <c r="F929">
        <v>42</v>
      </c>
      <c r="G929" t="s">
        <v>33</v>
      </c>
      <c r="H929" t="s">
        <v>34</v>
      </c>
      <c r="I929" t="s">
        <v>75</v>
      </c>
      <c r="J929" t="s">
        <v>76</v>
      </c>
      <c r="K929">
        <v>4</v>
      </c>
      <c r="L929">
        <v>399</v>
      </c>
      <c r="M929" s="3">
        <v>0.05</v>
      </c>
      <c r="N929">
        <v>1516.2</v>
      </c>
      <c r="O929">
        <v>880</v>
      </c>
      <c r="P929">
        <v>636.20000000000005</v>
      </c>
      <c r="Q929" t="s">
        <v>69</v>
      </c>
      <c r="R929" t="s">
        <v>28</v>
      </c>
      <c r="S929">
        <v>3</v>
      </c>
    </row>
    <row r="930" spans="1:19">
      <c r="A930" t="s">
        <v>1275</v>
      </c>
      <c r="B930" s="2">
        <v>46211</v>
      </c>
      <c r="C930" t="s">
        <v>527</v>
      </c>
      <c r="D930" t="s">
        <v>528</v>
      </c>
      <c r="E930" t="s">
        <v>22</v>
      </c>
      <c r="F930">
        <v>36</v>
      </c>
      <c r="G930" t="s">
        <v>93</v>
      </c>
      <c r="H930" t="s">
        <v>94</v>
      </c>
      <c r="I930" t="s">
        <v>117</v>
      </c>
      <c r="J930" t="s">
        <v>152</v>
      </c>
      <c r="K930">
        <v>2</v>
      </c>
      <c r="L930">
        <v>899</v>
      </c>
      <c r="M930" s="3">
        <v>0.2</v>
      </c>
      <c r="N930">
        <v>1438.4</v>
      </c>
      <c r="O930">
        <v>1000</v>
      </c>
      <c r="P930">
        <v>438.4</v>
      </c>
      <c r="Q930" t="s">
        <v>37</v>
      </c>
      <c r="R930" t="s">
        <v>28</v>
      </c>
      <c r="S930">
        <v>5</v>
      </c>
    </row>
    <row r="931" spans="1:19">
      <c r="A931" t="s">
        <v>1276</v>
      </c>
      <c r="B931" s="2">
        <v>45681</v>
      </c>
      <c r="C931" t="s">
        <v>705</v>
      </c>
      <c r="D931" t="s">
        <v>98</v>
      </c>
      <c r="E931" t="s">
        <v>32</v>
      </c>
      <c r="F931">
        <v>47</v>
      </c>
      <c r="G931" t="s">
        <v>141</v>
      </c>
      <c r="H931" t="s">
        <v>142</v>
      </c>
      <c r="I931" t="s">
        <v>43</v>
      </c>
      <c r="J931" t="s">
        <v>44</v>
      </c>
      <c r="K931">
        <v>3</v>
      </c>
      <c r="L931">
        <v>1599</v>
      </c>
      <c r="M931" s="3">
        <v>0.05</v>
      </c>
      <c r="N931">
        <v>4557.1499999999996</v>
      </c>
      <c r="O931">
        <v>2850</v>
      </c>
      <c r="P931">
        <v>1707.15</v>
      </c>
      <c r="Q931" t="s">
        <v>69</v>
      </c>
      <c r="R931" t="s">
        <v>77</v>
      </c>
      <c r="S931">
        <v>3</v>
      </c>
    </row>
    <row r="932" spans="1:19">
      <c r="A932" t="s">
        <v>1277</v>
      </c>
      <c r="B932" s="2">
        <v>45771</v>
      </c>
      <c r="C932" t="s">
        <v>363</v>
      </c>
      <c r="D932" t="s">
        <v>155</v>
      </c>
      <c r="E932" t="s">
        <v>32</v>
      </c>
      <c r="F932">
        <v>43</v>
      </c>
      <c r="G932" t="s">
        <v>48</v>
      </c>
      <c r="H932" t="s">
        <v>42</v>
      </c>
      <c r="I932" t="s">
        <v>43</v>
      </c>
      <c r="J932" t="s">
        <v>44</v>
      </c>
      <c r="K932">
        <v>4</v>
      </c>
      <c r="L932">
        <v>1599</v>
      </c>
      <c r="M932" s="3">
        <v>0.2</v>
      </c>
      <c r="N932">
        <v>5116.8</v>
      </c>
      <c r="O932">
        <v>3800</v>
      </c>
      <c r="P932">
        <v>1316.8</v>
      </c>
      <c r="Q932" t="s">
        <v>69</v>
      </c>
      <c r="R932" t="s">
        <v>137</v>
      </c>
      <c r="S932">
        <v>3</v>
      </c>
    </row>
    <row r="933" spans="1:19">
      <c r="A933" t="s">
        <v>1278</v>
      </c>
      <c r="B933" s="2">
        <v>45785</v>
      </c>
      <c r="C933" t="s">
        <v>326</v>
      </c>
      <c r="D933" t="s">
        <v>327</v>
      </c>
      <c r="E933" t="s">
        <v>22</v>
      </c>
      <c r="F933">
        <v>33</v>
      </c>
      <c r="G933" t="s">
        <v>141</v>
      </c>
      <c r="H933" t="s">
        <v>142</v>
      </c>
      <c r="I933" t="s">
        <v>163</v>
      </c>
      <c r="J933" t="s">
        <v>214</v>
      </c>
      <c r="K933">
        <v>1</v>
      </c>
      <c r="L933">
        <v>1499</v>
      </c>
      <c r="M933" s="3">
        <v>0</v>
      </c>
      <c r="N933">
        <v>1499</v>
      </c>
      <c r="O933">
        <v>900</v>
      </c>
      <c r="P933">
        <v>599</v>
      </c>
      <c r="Q933" t="s">
        <v>66</v>
      </c>
      <c r="R933" t="s">
        <v>28</v>
      </c>
      <c r="S933">
        <v>1</v>
      </c>
    </row>
    <row r="934" spans="1:19">
      <c r="A934" t="s">
        <v>1279</v>
      </c>
      <c r="B934" s="2">
        <v>46237</v>
      </c>
      <c r="C934" t="s">
        <v>161</v>
      </c>
      <c r="D934" t="s">
        <v>162</v>
      </c>
      <c r="E934" t="s">
        <v>22</v>
      </c>
      <c r="F934">
        <v>44</v>
      </c>
      <c r="G934" t="s">
        <v>146</v>
      </c>
      <c r="H934" t="s">
        <v>61</v>
      </c>
      <c r="I934" t="s">
        <v>163</v>
      </c>
      <c r="J934" t="s">
        <v>164</v>
      </c>
      <c r="K934">
        <v>2</v>
      </c>
      <c r="L934">
        <v>3499</v>
      </c>
      <c r="M934" s="3">
        <v>0.2</v>
      </c>
      <c r="N934">
        <v>5598.4</v>
      </c>
      <c r="O934">
        <v>4400</v>
      </c>
      <c r="P934">
        <v>1198.4000000000001</v>
      </c>
      <c r="Q934" t="s">
        <v>50</v>
      </c>
      <c r="R934" t="s">
        <v>137</v>
      </c>
      <c r="S934">
        <v>2</v>
      </c>
    </row>
    <row r="935" spans="1:19">
      <c r="A935" t="s">
        <v>1280</v>
      </c>
      <c r="B935" s="2">
        <v>45801</v>
      </c>
      <c r="C935" t="s">
        <v>313</v>
      </c>
      <c r="D935" t="s">
        <v>72</v>
      </c>
      <c r="E935" t="s">
        <v>22</v>
      </c>
      <c r="F935">
        <v>45</v>
      </c>
      <c r="G935" t="s">
        <v>41</v>
      </c>
      <c r="H935" t="s">
        <v>42</v>
      </c>
      <c r="I935" t="s">
        <v>43</v>
      </c>
      <c r="J935" t="s">
        <v>44</v>
      </c>
      <c r="K935">
        <v>3</v>
      </c>
      <c r="L935">
        <v>1599</v>
      </c>
      <c r="M935" s="3">
        <v>0.2</v>
      </c>
      <c r="N935">
        <v>3837.6</v>
      </c>
      <c r="O935">
        <v>2850</v>
      </c>
      <c r="P935">
        <v>987.6</v>
      </c>
      <c r="Q935" t="s">
        <v>66</v>
      </c>
      <c r="R935" t="s">
        <v>28</v>
      </c>
      <c r="S935">
        <v>2</v>
      </c>
    </row>
    <row r="936" spans="1:19">
      <c r="A936" t="s">
        <v>1281</v>
      </c>
      <c r="B936" s="2">
        <v>46123</v>
      </c>
      <c r="C936" t="s">
        <v>595</v>
      </c>
      <c r="D936" t="s">
        <v>596</v>
      </c>
      <c r="E936" t="s">
        <v>22</v>
      </c>
      <c r="F936">
        <v>25</v>
      </c>
      <c r="G936" t="s">
        <v>180</v>
      </c>
      <c r="H936" t="s">
        <v>181</v>
      </c>
      <c r="I936" t="s">
        <v>163</v>
      </c>
      <c r="J936" t="s">
        <v>164</v>
      </c>
      <c r="K936">
        <v>2</v>
      </c>
      <c r="L936">
        <v>3499</v>
      </c>
      <c r="M936" s="3">
        <v>0.1</v>
      </c>
      <c r="N936">
        <v>6298.2</v>
      </c>
      <c r="O936">
        <v>4400</v>
      </c>
      <c r="P936">
        <v>1898.2</v>
      </c>
      <c r="Q936" t="s">
        <v>69</v>
      </c>
      <c r="R936" t="s">
        <v>28</v>
      </c>
      <c r="S936">
        <v>4</v>
      </c>
    </row>
    <row r="937" spans="1:19">
      <c r="A937" t="s">
        <v>1282</v>
      </c>
      <c r="B937" s="2">
        <v>46093</v>
      </c>
      <c r="C937" t="s">
        <v>270</v>
      </c>
      <c r="D937" t="s">
        <v>271</v>
      </c>
      <c r="E937" t="s">
        <v>22</v>
      </c>
      <c r="F937">
        <v>51</v>
      </c>
      <c r="G937" t="s">
        <v>48</v>
      </c>
      <c r="H937" t="s">
        <v>42</v>
      </c>
      <c r="I937" t="s">
        <v>25</v>
      </c>
      <c r="J937" t="s">
        <v>26</v>
      </c>
      <c r="K937">
        <v>1</v>
      </c>
      <c r="L937">
        <v>2499</v>
      </c>
      <c r="M937" s="3">
        <v>0</v>
      </c>
      <c r="N937">
        <v>2499</v>
      </c>
      <c r="O937">
        <v>1600</v>
      </c>
      <c r="P937">
        <v>899</v>
      </c>
      <c r="Q937" t="s">
        <v>27</v>
      </c>
      <c r="R937" t="s">
        <v>28</v>
      </c>
      <c r="S937">
        <v>4</v>
      </c>
    </row>
    <row r="938" spans="1:19">
      <c r="A938" t="s">
        <v>1283</v>
      </c>
      <c r="B938" s="2">
        <v>46230</v>
      </c>
      <c r="C938" t="s">
        <v>91</v>
      </c>
      <c r="D938" t="s">
        <v>92</v>
      </c>
      <c r="E938" t="s">
        <v>32</v>
      </c>
      <c r="F938">
        <v>43</v>
      </c>
      <c r="G938" t="s">
        <v>93</v>
      </c>
      <c r="H938" t="s">
        <v>94</v>
      </c>
      <c r="I938" t="s">
        <v>163</v>
      </c>
      <c r="J938" t="s">
        <v>214</v>
      </c>
      <c r="K938">
        <v>4</v>
      </c>
      <c r="L938">
        <v>1499</v>
      </c>
      <c r="M938" s="3">
        <v>0.2</v>
      </c>
      <c r="N938">
        <v>4796.8</v>
      </c>
      <c r="O938">
        <v>3600</v>
      </c>
      <c r="P938">
        <v>1196.8</v>
      </c>
      <c r="Q938" t="s">
        <v>50</v>
      </c>
      <c r="R938" t="s">
        <v>28</v>
      </c>
      <c r="S938">
        <v>3</v>
      </c>
    </row>
    <row r="939" spans="1:19">
      <c r="A939" t="s">
        <v>1284</v>
      </c>
      <c r="B939" s="2">
        <v>46159</v>
      </c>
      <c r="C939" t="s">
        <v>264</v>
      </c>
      <c r="D939" t="s">
        <v>265</v>
      </c>
      <c r="E939" t="s">
        <v>22</v>
      </c>
      <c r="F939">
        <v>48</v>
      </c>
      <c r="G939" t="s">
        <v>23</v>
      </c>
      <c r="H939" t="s">
        <v>24</v>
      </c>
      <c r="I939" t="s">
        <v>35</v>
      </c>
      <c r="J939" t="s">
        <v>36</v>
      </c>
      <c r="K939">
        <v>4</v>
      </c>
      <c r="L939">
        <v>599</v>
      </c>
      <c r="M939" s="3">
        <v>0.15</v>
      </c>
      <c r="N939">
        <v>2036.6</v>
      </c>
      <c r="O939">
        <v>1280</v>
      </c>
      <c r="P939">
        <v>756.6</v>
      </c>
      <c r="Q939" t="s">
        <v>66</v>
      </c>
      <c r="R939" t="s">
        <v>137</v>
      </c>
      <c r="S939">
        <v>2</v>
      </c>
    </row>
    <row r="940" spans="1:19">
      <c r="A940" t="s">
        <v>1285</v>
      </c>
      <c r="B940" s="2">
        <v>45790</v>
      </c>
      <c r="C940" t="s">
        <v>326</v>
      </c>
      <c r="D940" t="s">
        <v>327</v>
      </c>
      <c r="E940" t="s">
        <v>22</v>
      </c>
      <c r="F940">
        <v>33</v>
      </c>
      <c r="G940" t="s">
        <v>141</v>
      </c>
      <c r="H940" t="s">
        <v>142</v>
      </c>
      <c r="I940" t="s">
        <v>25</v>
      </c>
      <c r="J940" t="s">
        <v>62</v>
      </c>
      <c r="K940">
        <v>4</v>
      </c>
      <c r="L940">
        <v>1299</v>
      </c>
      <c r="M940" s="3">
        <v>0.15</v>
      </c>
      <c r="N940">
        <v>4416.6000000000004</v>
      </c>
      <c r="O940">
        <v>3200</v>
      </c>
      <c r="P940">
        <v>1216.5999999999999</v>
      </c>
      <c r="Q940" t="s">
        <v>50</v>
      </c>
      <c r="R940" t="s">
        <v>137</v>
      </c>
      <c r="S940">
        <v>1</v>
      </c>
    </row>
    <row r="941" spans="1:19">
      <c r="A941" t="s">
        <v>1286</v>
      </c>
      <c r="B941" s="2">
        <v>45818</v>
      </c>
      <c r="C941" t="s">
        <v>585</v>
      </c>
      <c r="D941" t="s">
        <v>586</v>
      </c>
      <c r="E941" t="s">
        <v>32</v>
      </c>
      <c r="F941">
        <v>31</v>
      </c>
      <c r="G941" t="s">
        <v>48</v>
      </c>
      <c r="H941" t="s">
        <v>42</v>
      </c>
      <c r="I941" t="s">
        <v>35</v>
      </c>
      <c r="J941" t="s">
        <v>136</v>
      </c>
      <c r="K941">
        <v>4</v>
      </c>
      <c r="L941">
        <v>799</v>
      </c>
      <c r="M941" s="3">
        <v>0</v>
      </c>
      <c r="N941">
        <v>3196</v>
      </c>
      <c r="O941">
        <v>1800</v>
      </c>
      <c r="P941">
        <v>1396</v>
      </c>
      <c r="Q941" t="s">
        <v>50</v>
      </c>
      <c r="R941" t="s">
        <v>28</v>
      </c>
      <c r="S941">
        <v>1</v>
      </c>
    </row>
    <row r="942" spans="1:19">
      <c r="A942" t="s">
        <v>1287</v>
      </c>
      <c r="B942" s="2">
        <v>46243</v>
      </c>
      <c r="C942" t="s">
        <v>568</v>
      </c>
      <c r="D942" t="s">
        <v>569</v>
      </c>
      <c r="E942" t="s">
        <v>22</v>
      </c>
      <c r="F942">
        <v>18</v>
      </c>
      <c r="G942" t="s">
        <v>48</v>
      </c>
      <c r="H942" t="s">
        <v>42</v>
      </c>
      <c r="I942" t="s">
        <v>25</v>
      </c>
      <c r="J942" t="s">
        <v>56</v>
      </c>
      <c r="K942">
        <v>1</v>
      </c>
      <c r="L942">
        <v>899</v>
      </c>
      <c r="M942" s="3">
        <v>0.1</v>
      </c>
      <c r="N942">
        <v>809.1</v>
      </c>
      <c r="O942">
        <v>550</v>
      </c>
      <c r="P942">
        <v>259.10000000000002</v>
      </c>
      <c r="Q942" t="s">
        <v>37</v>
      </c>
      <c r="R942" t="s">
        <v>28</v>
      </c>
      <c r="S942">
        <v>2</v>
      </c>
    </row>
    <row r="943" spans="1:19">
      <c r="A943" t="s">
        <v>1288</v>
      </c>
      <c r="B943" s="2">
        <v>45968</v>
      </c>
      <c r="C943" t="s">
        <v>562</v>
      </c>
      <c r="D943" t="s">
        <v>563</v>
      </c>
      <c r="E943" t="s">
        <v>22</v>
      </c>
      <c r="F943">
        <v>27</v>
      </c>
      <c r="G943" t="s">
        <v>180</v>
      </c>
      <c r="H943" t="s">
        <v>181</v>
      </c>
      <c r="I943" t="s">
        <v>163</v>
      </c>
      <c r="J943" t="s">
        <v>214</v>
      </c>
      <c r="K943">
        <v>3</v>
      </c>
      <c r="L943">
        <v>1499</v>
      </c>
      <c r="M943" s="3">
        <v>0.1</v>
      </c>
      <c r="N943">
        <v>4047.3</v>
      </c>
      <c r="O943">
        <v>2700</v>
      </c>
      <c r="P943">
        <v>1347.3</v>
      </c>
      <c r="Q943" t="s">
        <v>37</v>
      </c>
      <c r="R943" t="s">
        <v>28</v>
      </c>
      <c r="S943">
        <v>2</v>
      </c>
    </row>
    <row r="944" spans="1:19">
      <c r="A944" t="s">
        <v>1289</v>
      </c>
      <c r="B944" s="2">
        <v>45970</v>
      </c>
      <c r="C944" t="s">
        <v>598</v>
      </c>
      <c r="D944" t="s">
        <v>225</v>
      </c>
      <c r="E944" t="s">
        <v>22</v>
      </c>
      <c r="F944">
        <v>37</v>
      </c>
      <c r="G944" t="s">
        <v>48</v>
      </c>
      <c r="H944" t="s">
        <v>42</v>
      </c>
      <c r="I944" t="s">
        <v>75</v>
      </c>
      <c r="J944" t="s">
        <v>86</v>
      </c>
      <c r="K944">
        <v>4</v>
      </c>
      <c r="L944">
        <v>499</v>
      </c>
      <c r="M944" s="3">
        <v>0</v>
      </c>
      <c r="N944">
        <v>1996</v>
      </c>
      <c r="O944">
        <v>1200</v>
      </c>
      <c r="P944">
        <v>796</v>
      </c>
      <c r="Q944" t="s">
        <v>37</v>
      </c>
      <c r="R944" t="s">
        <v>28</v>
      </c>
      <c r="S944">
        <v>4</v>
      </c>
    </row>
    <row r="945" spans="1:19">
      <c r="A945" t="s">
        <v>1290</v>
      </c>
      <c r="B945" s="2">
        <v>45703</v>
      </c>
      <c r="C945" t="s">
        <v>760</v>
      </c>
      <c r="D945" t="s">
        <v>761</v>
      </c>
      <c r="E945" t="s">
        <v>22</v>
      </c>
      <c r="F945">
        <v>19</v>
      </c>
      <c r="G945" t="s">
        <v>93</v>
      </c>
      <c r="H945" t="s">
        <v>94</v>
      </c>
      <c r="I945" t="s">
        <v>25</v>
      </c>
      <c r="J945" t="s">
        <v>56</v>
      </c>
      <c r="K945">
        <v>3</v>
      </c>
      <c r="L945">
        <v>899</v>
      </c>
      <c r="M945" s="3">
        <v>0</v>
      </c>
      <c r="N945">
        <v>2697</v>
      </c>
      <c r="O945">
        <v>1650</v>
      </c>
      <c r="P945">
        <v>1047</v>
      </c>
      <c r="Q945" t="s">
        <v>66</v>
      </c>
      <c r="R945" t="s">
        <v>28</v>
      </c>
      <c r="S945">
        <v>3</v>
      </c>
    </row>
    <row r="946" spans="1:19">
      <c r="A946" t="s">
        <v>1291</v>
      </c>
      <c r="B946" s="2">
        <v>46144</v>
      </c>
      <c r="C946" t="s">
        <v>287</v>
      </c>
      <c r="D946" t="s">
        <v>190</v>
      </c>
      <c r="E946" t="s">
        <v>32</v>
      </c>
      <c r="F946">
        <v>39</v>
      </c>
      <c r="G946" t="s">
        <v>81</v>
      </c>
      <c r="H946" t="s">
        <v>82</v>
      </c>
      <c r="I946" t="s">
        <v>35</v>
      </c>
      <c r="J946" t="s">
        <v>136</v>
      </c>
      <c r="K946">
        <v>3</v>
      </c>
      <c r="L946">
        <v>799</v>
      </c>
      <c r="M946" s="3">
        <v>0.15</v>
      </c>
      <c r="N946">
        <v>2037.45</v>
      </c>
      <c r="O946">
        <v>1350</v>
      </c>
      <c r="P946">
        <v>687.45</v>
      </c>
      <c r="Q946" t="s">
        <v>50</v>
      </c>
      <c r="R946" t="s">
        <v>28</v>
      </c>
      <c r="S946">
        <v>2</v>
      </c>
    </row>
    <row r="947" spans="1:19">
      <c r="A947" t="s">
        <v>1292</v>
      </c>
      <c r="B947" s="2">
        <v>46117</v>
      </c>
      <c r="C947" t="s">
        <v>326</v>
      </c>
      <c r="D947" t="s">
        <v>327</v>
      </c>
      <c r="E947" t="s">
        <v>22</v>
      </c>
      <c r="F947">
        <v>33</v>
      </c>
      <c r="G947" t="s">
        <v>141</v>
      </c>
      <c r="H947" t="s">
        <v>142</v>
      </c>
      <c r="I947" t="s">
        <v>75</v>
      </c>
      <c r="J947" t="s">
        <v>76</v>
      </c>
      <c r="K947">
        <v>4</v>
      </c>
      <c r="L947">
        <v>399</v>
      </c>
      <c r="M947" s="3">
        <v>0.15</v>
      </c>
      <c r="N947">
        <v>1356.6</v>
      </c>
      <c r="O947">
        <v>880</v>
      </c>
      <c r="P947">
        <v>476.6</v>
      </c>
      <c r="Q947" t="s">
        <v>27</v>
      </c>
      <c r="R947" t="s">
        <v>137</v>
      </c>
      <c r="S947">
        <v>3</v>
      </c>
    </row>
    <row r="948" spans="1:19">
      <c r="A948" t="s">
        <v>1293</v>
      </c>
      <c r="B948" s="2">
        <v>45896</v>
      </c>
      <c r="C948" t="s">
        <v>692</v>
      </c>
      <c r="D948" t="s">
        <v>343</v>
      </c>
      <c r="E948" t="s">
        <v>22</v>
      </c>
      <c r="F948">
        <v>50</v>
      </c>
      <c r="G948" t="s">
        <v>48</v>
      </c>
      <c r="H948" t="s">
        <v>42</v>
      </c>
      <c r="I948" t="s">
        <v>75</v>
      </c>
      <c r="J948" t="s">
        <v>106</v>
      </c>
      <c r="K948">
        <v>4</v>
      </c>
      <c r="L948">
        <v>899</v>
      </c>
      <c r="M948" s="3">
        <v>0.15</v>
      </c>
      <c r="N948">
        <v>3056.6</v>
      </c>
      <c r="O948">
        <v>2400</v>
      </c>
      <c r="P948">
        <v>656.6</v>
      </c>
      <c r="Q948" t="s">
        <v>66</v>
      </c>
      <c r="R948" t="s">
        <v>28</v>
      </c>
      <c r="S948">
        <v>1</v>
      </c>
    </row>
    <row r="949" spans="1:19">
      <c r="A949" t="s">
        <v>1294</v>
      </c>
      <c r="B949" s="2">
        <v>45827</v>
      </c>
      <c r="C949" t="s">
        <v>381</v>
      </c>
      <c r="D949" t="s">
        <v>382</v>
      </c>
      <c r="E949" t="s">
        <v>22</v>
      </c>
      <c r="F949">
        <v>26</v>
      </c>
      <c r="G949" t="s">
        <v>55</v>
      </c>
      <c r="H949" t="s">
        <v>34</v>
      </c>
      <c r="I949" t="s">
        <v>117</v>
      </c>
      <c r="J949" t="s">
        <v>152</v>
      </c>
      <c r="K949">
        <v>3</v>
      </c>
      <c r="L949">
        <v>899</v>
      </c>
      <c r="M949" s="3">
        <v>0</v>
      </c>
      <c r="N949">
        <v>2697</v>
      </c>
      <c r="O949">
        <v>1500</v>
      </c>
      <c r="P949">
        <v>1197</v>
      </c>
      <c r="Q949" t="s">
        <v>69</v>
      </c>
      <c r="R949" t="s">
        <v>28</v>
      </c>
      <c r="S949">
        <v>3</v>
      </c>
    </row>
    <row r="950" spans="1:19">
      <c r="A950" t="s">
        <v>1295</v>
      </c>
      <c r="B950" s="2">
        <v>45745</v>
      </c>
      <c r="C950" t="s">
        <v>277</v>
      </c>
      <c r="D950" t="s">
        <v>278</v>
      </c>
      <c r="E950" t="s">
        <v>32</v>
      </c>
      <c r="F950">
        <v>33</v>
      </c>
      <c r="G950" t="s">
        <v>105</v>
      </c>
      <c r="H950" t="s">
        <v>105</v>
      </c>
      <c r="I950" t="s">
        <v>75</v>
      </c>
      <c r="J950" t="s">
        <v>76</v>
      </c>
      <c r="K950">
        <v>1</v>
      </c>
      <c r="L950">
        <v>399</v>
      </c>
      <c r="M950" s="3">
        <v>0.2</v>
      </c>
      <c r="N950">
        <v>319.2</v>
      </c>
      <c r="O950">
        <v>220</v>
      </c>
      <c r="P950">
        <v>99.2</v>
      </c>
      <c r="Q950" t="s">
        <v>27</v>
      </c>
      <c r="R950" t="s">
        <v>51</v>
      </c>
      <c r="S950">
        <v>5</v>
      </c>
    </row>
    <row r="951" spans="1:19">
      <c r="A951" t="s">
        <v>1296</v>
      </c>
      <c r="B951" s="2">
        <v>46172</v>
      </c>
      <c r="C951" t="s">
        <v>71</v>
      </c>
      <c r="D951" t="s">
        <v>72</v>
      </c>
      <c r="E951" t="s">
        <v>32</v>
      </c>
      <c r="F951">
        <v>53</v>
      </c>
      <c r="G951" t="s">
        <v>73</v>
      </c>
      <c r="H951" t="s">
        <v>74</v>
      </c>
      <c r="I951" t="s">
        <v>25</v>
      </c>
      <c r="J951" t="s">
        <v>68</v>
      </c>
      <c r="K951">
        <v>2</v>
      </c>
      <c r="L951">
        <v>2999</v>
      </c>
      <c r="M951" s="3">
        <v>0.15</v>
      </c>
      <c r="N951">
        <v>5098.3</v>
      </c>
      <c r="O951">
        <v>3800</v>
      </c>
      <c r="P951">
        <v>1298.3</v>
      </c>
      <c r="Q951" t="s">
        <v>69</v>
      </c>
      <c r="R951" t="s">
        <v>28</v>
      </c>
      <c r="S951">
        <v>5</v>
      </c>
    </row>
    <row r="952" spans="1:19">
      <c r="A952" t="s">
        <v>1297</v>
      </c>
      <c r="B952" s="2">
        <v>45909</v>
      </c>
      <c r="C952" t="s">
        <v>338</v>
      </c>
      <c r="D952" t="s">
        <v>339</v>
      </c>
      <c r="E952" t="s">
        <v>32</v>
      </c>
      <c r="F952">
        <v>24</v>
      </c>
      <c r="G952" t="s">
        <v>73</v>
      </c>
      <c r="H952" t="s">
        <v>74</v>
      </c>
      <c r="I952" t="s">
        <v>25</v>
      </c>
      <c r="J952" t="s">
        <v>156</v>
      </c>
      <c r="K952">
        <v>3</v>
      </c>
      <c r="L952">
        <v>1999</v>
      </c>
      <c r="M952" s="3">
        <v>0.05</v>
      </c>
      <c r="N952">
        <v>5697.15</v>
      </c>
      <c r="O952">
        <v>3900</v>
      </c>
      <c r="P952">
        <v>1797.15</v>
      </c>
      <c r="Q952" t="s">
        <v>50</v>
      </c>
      <c r="R952" t="s">
        <v>28</v>
      </c>
      <c r="S952">
        <v>5</v>
      </c>
    </row>
    <row r="953" spans="1:19">
      <c r="A953" t="s">
        <v>1298</v>
      </c>
      <c r="B953" s="2">
        <v>45681</v>
      </c>
      <c r="C953" t="s">
        <v>110</v>
      </c>
      <c r="D953" t="s">
        <v>111</v>
      </c>
      <c r="E953" t="s">
        <v>22</v>
      </c>
      <c r="F953">
        <v>47</v>
      </c>
      <c r="G953" t="s">
        <v>48</v>
      </c>
      <c r="H953" t="s">
        <v>42</v>
      </c>
      <c r="I953" t="s">
        <v>163</v>
      </c>
      <c r="J953" t="s">
        <v>290</v>
      </c>
      <c r="K953">
        <v>1</v>
      </c>
      <c r="L953">
        <v>1999</v>
      </c>
      <c r="M953" s="3">
        <v>0.15</v>
      </c>
      <c r="N953">
        <v>1699.15</v>
      </c>
      <c r="O953">
        <v>1200</v>
      </c>
      <c r="P953">
        <v>499.15</v>
      </c>
      <c r="Q953" t="s">
        <v>37</v>
      </c>
      <c r="R953" t="s">
        <v>28</v>
      </c>
      <c r="S953">
        <v>4</v>
      </c>
    </row>
    <row r="954" spans="1:19">
      <c r="A954" t="s">
        <v>1299</v>
      </c>
      <c r="B954" s="2">
        <v>45921</v>
      </c>
      <c r="C954" t="s">
        <v>390</v>
      </c>
      <c r="D954" t="s">
        <v>391</v>
      </c>
      <c r="E954" t="s">
        <v>32</v>
      </c>
      <c r="F954">
        <v>27</v>
      </c>
      <c r="G954" t="s">
        <v>55</v>
      </c>
      <c r="H954" t="s">
        <v>34</v>
      </c>
      <c r="I954" t="s">
        <v>35</v>
      </c>
      <c r="J954" t="s">
        <v>108</v>
      </c>
      <c r="K954">
        <v>3</v>
      </c>
      <c r="L954">
        <v>699</v>
      </c>
      <c r="M954" s="3">
        <v>0.15</v>
      </c>
      <c r="N954">
        <v>1782.45</v>
      </c>
      <c r="O954">
        <v>1140</v>
      </c>
      <c r="P954">
        <v>642.45000000000005</v>
      </c>
      <c r="Q954" t="s">
        <v>69</v>
      </c>
      <c r="R954" t="s">
        <v>28</v>
      </c>
      <c r="S954">
        <v>1</v>
      </c>
    </row>
    <row r="955" spans="1:19">
      <c r="A955" t="s">
        <v>1300</v>
      </c>
      <c r="B955" s="2">
        <v>45845</v>
      </c>
      <c r="C955" t="s">
        <v>233</v>
      </c>
      <c r="D955" t="s">
        <v>213</v>
      </c>
      <c r="E955" t="s">
        <v>32</v>
      </c>
      <c r="F955">
        <v>18</v>
      </c>
      <c r="G955" t="s">
        <v>93</v>
      </c>
      <c r="H955" t="s">
        <v>94</v>
      </c>
      <c r="I955" t="s">
        <v>43</v>
      </c>
      <c r="J955" t="s">
        <v>95</v>
      </c>
      <c r="K955">
        <v>3</v>
      </c>
      <c r="L955">
        <v>2499</v>
      </c>
      <c r="M955" s="3">
        <v>0.05</v>
      </c>
      <c r="N955">
        <v>7122.15</v>
      </c>
      <c r="O955">
        <v>4500</v>
      </c>
      <c r="P955">
        <v>2622.15</v>
      </c>
      <c r="Q955" t="s">
        <v>37</v>
      </c>
      <c r="R955" t="s">
        <v>28</v>
      </c>
      <c r="S955">
        <v>2</v>
      </c>
    </row>
    <row r="956" spans="1:19">
      <c r="A956" t="s">
        <v>1301</v>
      </c>
      <c r="B956" s="2">
        <v>45991</v>
      </c>
      <c r="C956" t="s">
        <v>103</v>
      </c>
      <c r="D956" t="s">
        <v>104</v>
      </c>
      <c r="E956" t="s">
        <v>32</v>
      </c>
      <c r="F956">
        <v>27</v>
      </c>
      <c r="G956" t="s">
        <v>105</v>
      </c>
      <c r="H956" t="s">
        <v>105</v>
      </c>
      <c r="I956" t="s">
        <v>163</v>
      </c>
      <c r="J956" t="s">
        <v>234</v>
      </c>
      <c r="K956">
        <v>2</v>
      </c>
      <c r="L956">
        <v>999</v>
      </c>
      <c r="M956" s="3">
        <v>0</v>
      </c>
      <c r="N956">
        <v>1998</v>
      </c>
      <c r="O956">
        <v>1200</v>
      </c>
      <c r="P956">
        <v>798</v>
      </c>
      <c r="Q956" t="s">
        <v>27</v>
      </c>
      <c r="R956" t="s">
        <v>28</v>
      </c>
      <c r="S956">
        <v>1</v>
      </c>
    </row>
    <row r="957" spans="1:19">
      <c r="A957" t="s">
        <v>1302</v>
      </c>
      <c r="B957" s="2">
        <v>45803</v>
      </c>
      <c r="C957" t="s">
        <v>84</v>
      </c>
      <c r="D957" t="s">
        <v>85</v>
      </c>
      <c r="E957" t="s">
        <v>32</v>
      </c>
      <c r="F957">
        <v>20</v>
      </c>
      <c r="G957" t="s">
        <v>41</v>
      </c>
      <c r="H957" t="s">
        <v>42</v>
      </c>
      <c r="I957" t="s">
        <v>163</v>
      </c>
      <c r="J957" t="s">
        <v>290</v>
      </c>
      <c r="K957">
        <v>1</v>
      </c>
      <c r="L957">
        <v>1999</v>
      </c>
      <c r="M957" s="3">
        <v>0.1</v>
      </c>
      <c r="N957">
        <v>1799.1</v>
      </c>
      <c r="O957">
        <v>1200</v>
      </c>
      <c r="P957">
        <v>599.1</v>
      </c>
      <c r="Q957" t="s">
        <v>66</v>
      </c>
      <c r="R957" t="s">
        <v>77</v>
      </c>
      <c r="S957">
        <v>3</v>
      </c>
    </row>
    <row r="958" spans="1:19">
      <c r="A958" t="s">
        <v>1303</v>
      </c>
      <c r="B958" s="2">
        <v>45903</v>
      </c>
      <c r="C958" t="s">
        <v>516</v>
      </c>
      <c r="D958" t="s">
        <v>449</v>
      </c>
      <c r="E958" t="s">
        <v>22</v>
      </c>
      <c r="F958">
        <v>45</v>
      </c>
      <c r="G958" t="s">
        <v>41</v>
      </c>
      <c r="H958" t="s">
        <v>42</v>
      </c>
      <c r="I958" t="s">
        <v>25</v>
      </c>
      <c r="J958" t="s">
        <v>56</v>
      </c>
      <c r="K958">
        <v>1</v>
      </c>
      <c r="L958">
        <v>899</v>
      </c>
      <c r="M958" s="3">
        <v>0.05</v>
      </c>
      <c r="N958">
        <v>854.05</v>
      </c>
      <c r="O958">
        <v>550</v>
      </c>
      <c r="P958">
        <v>304.05</v>
      </c>
      <c r="Q958" t="s">
        <v>50</v>
      </c>
      <c r="R958" t="s">
        <v>28</v>
      </c>
      <c r="S958">
        <v>4</v>
      </c>
    </row>
    <row r="959" spans="1:19">
      <c r="A959" t="s">
        <v>1304</v>
      </c>
      <c r="B959" s="2">
        <v>45933</v>
      </c>
      <c r="C959" t="s">
        <v>150</v>
      </c>
      <c r="D959" t="s">
        <v>151</v>
      </c>
      <c r="E959" t="s">
        <v>22</v>
      </c>
      <c r="F959">
        <v>33</v>
      </c>
      <c r="G959" t="s">
        <v>81</v>
      </c>
      <c r="H959" t="s">
        <v>82</v>
      </c>
      <c r="I959" t="s">
        <v>35</v>
      </c>
      <c r="J959" t="s">
        <v>108</v>
      </c>
      <c r="K959">
        <v>4</v>
      </c>
      <c r="L959">
        <v>699</v>
      </c>
      <c r="M959" s="3">
        <v>0</v>
      </c>
      <c r="N959">
        <v>2796</v>
      </c>
      <c r="O959">
        <v>1520</v>
      </c>
      <c r="P959">
        <v>1276</v>
      </c>
      <c r="Q959" t="s">
        <v>69</v>
      </c>
      <c r="R959" t="s">
        <v>28</v>
      </c>
      <c r="S959">
        <v>5</v>
      </c>
    </row>
    <row r="960" spans="1:19">
      <c r="A960" t="s">
        <v>1305</v>
      </c>
      <c r="B960" s="2">
        <v>46075</v>
      </c>
      <c r="C960" t="s">
        <v>568</v>
      </c>
      <c r="D960" t="s">
        <v>569</v>
      </c>
      <c r="E960" t="s">
        <v>22</v>
      </c>
      <c r="F960">
        <v>18</v>
      </c>
      <c r="G960" t="s">
        <v>48</v>
      </c>
      <c r="H960" t="s">
        <v>42</v>
      </c>
      <c r="I960" t="s">
        <v>25</v>
      </c>
      <c r="J960" t="s">
        <v>26</v>
      </c>
      <c r="K960">
        <v>4</v>
      </c>
      <c r="L960">
        <v>2499</v>
      </c>
      <c r="M960" s="3">
        <v>0</v>
      </c>
      <c r="N960">
        <v>9996</v>
      </c>
      <c r="O960">
        <v>6400</v>
      </c>
      <c r="P960">
        <v>3596</v>
      </c>
      <c r="Q960" t="s">
        <v>27</v>
      </c>
      <c r="R960" t="s">
        <v>77</v>
      </c>
      <c r="S960">
        <v>1</v>
      </c>
    </row>
    <row r="961" spans="1:19">
      <c r="A961" t="s">
        <v>1306</v>
      </c>
      <c r="B961" s="2">
        <v>46226</v>
      </c>
      <c r="C961" t="s">
        <v>154</v>
      </c>
      <c r="D961" t="s">
        <v>155</v>
      </c>
      <c r="E961" t="s">
        <v>22</v>
      </c>
      <c r="F961">
        <v>53</v>
      </c>
      <c r="G961" t="s">
        <v>105</v>
      </c>
      <c r="H961" t="s">
        <v>105</v>
      </c>
      <c r="I961" t="s">
        <v>35</v>
      </c>
      <c r="J961" t="s">
        <v>126</v>
      </c>
      <c r="K961">
        <v>1</v>
      </c>
      <c r="L961">
        <v>1499</v>
      </c>
      <c r="M961" s="3">
        <v>0.05</v>
      </c>
      <c r="N961">
        <v>1424.05</v>
      </c>
      <c r="O961">
        <v>850</v>
      </c>
      <c r="P961">
        <v>574.04999999999995</v>
      </c>
      <c r="Q961" t="s">
        <v>27</v>
      </c>
      <c r="R961" t="s">
        <v>28</v>
      </c>
      <c r="S961">
        <v>4</v>
      </c>
    </row>
    <row r="962" spans="1:19">
      <c r="A962" t="s">
        <v>1307</v>
      </c>
      <c r="B962" s="2">
        <v>46040</v>
      </c>
      <c r="C962" t="s">
        <v>317</v>
      </c>
      <c r="D962" t="s">
        <v>318</v>
      </c>
      <c r="E962" t="s">
        <v>22</v>
      </c>
      <c r="F962">
        <v>31</v>
      </c>
      <c r="G962" t="s">
        <v>33</v>
      </c>
      <c r="H962" t="s">
        <v>34</v>
      </c>
      <c r="I962" t="s">
        <v>25</v>
      </c>
      <c r="J962" t="s">
        <v>26</v>
      </c>
      <c r="K962">
        <v>2</v>
      </c>
      <c r="L962">
        <v>2499</v>
      </c>
      <c r="M962" s="3">
        <v>0.05</v>
      </c>
      <c r="N962">
        <v>4748.1000000000004</v>
      </c>
      <c r="O962">
        <v>3200</v>
      </c>
      <c r="P962">
        <v>1548.1</v>
      </c>
      <c r="Q962" t="s">
        <v>50</v>
      </c>
      <c r="R962" t="s">
        <v>51</v>
      </c>
      <c r="S962">
        <v>2</v>
      </c>
    </row>
    <row r="963" spans="1:19">
      <c r="A963" t="s">
        <v>1308</v>
      </c>
      <c r="B963" s="2">
        <v>45659</v>
      </c>
      <c r="C963" t="s">
        <v>467</v>
      </c>
      <c r="D963" t="s">
        <v>322</v>
      </c>
      <c r="E963" t="s">
        <v>32</v>
      </c>
      <c r="F963">
        <v>41</v>
      </c>
      <c r="G963" t="s">
        <v>55</v>
      </c>
      <c r="H963" t="s">
        <v>34</v>
      </c>
      <c r="I963" t="s">
        <v>163</v>
      </c>
      <c r="J963" t="s">
        <v>234</v>
      </c>
      <c r="K963">
        <v>4</v>
      </c>
      <c r="L963">
        <v>999</v>
      </c>
      <c r="M963" s="3">
        <v>0</v>
      </c>
      <c r="N963">
        <v>3996</v>
      </c>
      <c r="O963">
        <v>2400</v>
      </c>
      <c r="P963">
        <v>1596</v>
      </c>
      <c r="Q963" t="s">
        <v>66</v>
      </c>
      <c r="R963" t="s">
        <v>51</v>
      </c>
      <c r="S963">
        <v>5</v>
      </c>
    </row>
    <row r="964" spans="1:19">
      <c r="A964" t="s">
        <v>1309</v>
      </c>
      <c r="B964" s="2">
        <v>45719</v>
      </c>
      <c r="C964" t="s">
        <v>623</v>
      </c>
      <c r="D964" t="s">
        <v>624</v>
      </c>
      <c r="E964" t="s">
        <v>22</v>
      </c>
      <c r="F964">
        <v>52</v>
      </c>
      <c r="G964" t="s">
        <v>60</v>
      </c>
      <c r="H964" t="s">
        <v>61</v>
      </c>
      <c r="I964" t="s">
        <v>75</v>
      </c>
      <c r="J964" t="s">
        <v>76</v>
      </c>
      <c r="K964">
        <v>2</v>
      </c>
      <c r="L964">
        <v>399</v>
      </c>
      <c r="M964" s="3">
        <v>0</v>
      </c>
      <c r="N964">
        <v>798</v>
      </c>
      <c r="O964">
        <v>440</v>
      </c>
      <c r="P964">
        <v>358</v>
      </c>
      <c r="Q964" t="s">
        <v>66</v>
      </c>
      <c r="R964" t="s">
        <v>28</v>
      </c>
      <c r="S964">
        <v>3</v>
      </c>
    </row>
    <row r="965" spans="1:19">
      <c r="A965" t="s">
        <v>1310</v>
      </c>
      <c r="B965" s="2">
        <v>46180</v>
      </c>
      <c r="C965" t="s">
        <v>192</v>
      </c>
      <c r="D965" t="s">
        <v>193</v>
      </c>
      <c r="E965" t="s">
        <v>32</v>
      </c>
      <c r="F965">
        <v>47</v>
      </c>
      <c r="G965" t="s">
        <v>93</v>
      </c>
      <c r="H965" t="s">
        <v>94</v>
      </c>
      <c r="I965" t="s">
        <v>163</v>
      </c>
      <c r="J965" t="s">
        <v>214</v>
      </c>
      <c r="K965">
        <v>2</v>
      </c>
      <c r="L965">
        <v>1499</v>
      </c>
      <c r="M965" s="3">
        <v>0.2</v>
      </c>
      <c r="N965">
        <v>2398.4</v>
      </c>
      <c r="O965">
        <v>1800</v>
      </c>
      <c r="P965">
        <v>598.4</v>
      </c>
      <c r="Q965" t="s">
        <v>37</v>
      </c>
      <c r="R965" t="s">
        <v>28</v>
      </c>
      <c r="S965">
        <v>5</v>
      </c>
    </row>
    <row r="966" spans="1:19">
      <c r="A966" t="s">
        <v>1311</v>
      </c>
      <c r="B966" s="2">
        <v>46062</v>
      </c>
      <c r="C966" t="s">
        <v>287</v>
      </c>
      <c r="D966" t="s">
        <v>190</v>
      </c>
      <c r="E966" t="s">
        <v>32</v>
      </c>
      <c r="F966">
        <v>39</v>
      </c>
      <c r="G966" t="s">
        <v>81</v>
      </c>
      <c r="H966" t="s">
        <v>82</v>
      </c>
      <c r="I966" t="s">
        <v>25</v>
      </c>
      <c r="J966" t="s">
        <v>26</v>
      </c>
      <c r="K966">
        <v>3</v>
      </c>
      <c r="L966">
        <v>2499</v>
      </c>
      <c r="M966" s="3">
        <v>0</v>
      </c>
      <c r="N966">
        <v>7497</v>
      </c>
      <c r="O966">
        <v>4800</v>
      </c>
      <c r="P966">
        <v>2697</v>
      </c>
      <c r="Q966" t="s">
        <v>69</v>
      </c>
      <c r="R966" t="s">
        <v>137</v>
      </c>
      <c r="S966">
        <v>3</v>
      </c>
    </row>
    <row r="967" spans="1:19">
      <c r="A967" t="s">
        <v>1312</v>
      </c>
      <c r="B967" s="2">
        <v>45925</v>
      </c>
      <c r="C967" t="s">
        <v>267</v>
      </c>
      <c r="D967" t="s">
        <v>268</v>
      </c>
      <c r="E967" t="s">
        <v>22</v>
      </c>
      <c r="F967">
        <v>35</v>
      </c>
      <c r="G967" t="s">
        <v>141</v>
      </c>
      <c r="H967" t="s">
        <v>142</v>
      </c>
      <c r="I967" t="s">
        <v>43</v>
      </c>
      <c r="J967" t="s">
        <v>49</v>
      </c>
      <c r="K967">
        <v>3</v>
      </c>
      <c r="L967">
        <v>799</v>
      </c>
      <c r="M967" s="3">
        <v>0.1</v>
      </c>
      <c r="N967">
        <v>2157.3000000000002</v>
      </c>
      <c r="O967">
        <v>1350</v>
      </c>
      <c r="P967">
        <v>807.3</v>
      </c>
      <c r="Q967" t="s">
        <v>66</v>
      </c>
      <c r="R967" t="s">
        <v>28</v>
      </c>
      <c r="S967">
        <v>3</v>
      </c>
    </row>
    <row r="968" spans="1:19">
      <c r="A968" t="s">
        <v>1313</v>
      </c>
      <c r="B968" s="2">
        <v>45994</v>
      </c>
      <c r="C968" t="s">
        <v>1039</v>
      </c>
      <c r="D968" t="s">
        <v>333</v>
      </c>
      <c r="E968" t="s">
        <v>22</v>
      </c>
      <c r="F968">
        <v>45</v>
      </c>
      <c r="G968" t="s">
        <v>146</v>
      </c>
      <c r="H968" t="s">
        <v>61</v>
      </c>
      <c r="I968" t="s">
        <v>43</v>
      </c>
      <c r="J968" t="s">
        <v>49</v>
      </c>
      <c r="K968">
        <v>4</v>
      </c>
      <c r="L968">
        <v>799</v>
      </c>
      <c r="M968" s="3">
        <v>0.2</v>
      </c>
      <c r="N968">
        <v>2556.8000000000002</v>
      </c>
      <c r="O968">
        <v>1800</v>
      </c>
      <c r="P968">
        <v>756.8</v>
      </c>
      <c r="Q968" t="s">
        <v>69</v>
      </c>
      <c r="R968" t="s">
        <v>77</v>
      </c>
      <c r="S968">
        <v>2</v>
      </c>
    </row>
    <row r="969" spans="1:19">
      <c r="A969" t="s">
        <v>1314</v>
      </c>
      <c r="B969" s="2">
        <v>45667</v>
      </c>
      <c r="C969" t="s">
        <v>760</v>
      </c>
      <c r="D969" t="s">
        <v>761</v>
      </c>
      <c r="E969" t="s">
        <v>22</v>
      </c>
      <c r="F969">
        <v>19</v>
      </c>
      <c r="G969" t="s">
        <v>93</v>
      </c>
      <c r="H969" t="s">
        <v>94</v>
      </c>
      <c r="I969" t="s">
        <v>75</v>
      </c>
      <c r="J969" t="s">
        <v>106</v>
      </c>
      <c r="K969">
        <v>4</v>
      </c>
      <c r="L969">
        <v>899</v>
      </c>
      <c r="M969" s="3">
        <v>0</v>
      </c>
      <c r="N969">
        <v>3596</v>
      </c>
      <c r="O969">
        <v>2400</v>
      </c>
      <c r="P969">
        <v>1196</v>
      </c>
      <c r="Q969" t="s">
        <v>27</v>
      </c>
      <c r="R969" t="s">
        <v>28</v>
      </c>
      <c r="S969">
        <v>4</v>
      </c>
    </row>
    <row r="970" spans="1:19">
      <c r="A970" t="s">
        <v>1315</v>
      </c>
      <c r="B970" s="2">
        <v>46209</v>
      </c>
      <c r="C970" t="s">
        <v>632</v>
      </c>
      <c r="D970" t="s">
        <v>633</v>
      </c>
      <c r="E970" t="s">
        <v>22</v>
      </c>
      <c r="F970">
        <v>33</v>
      </c>
      <c r="G970" t="s">
        <v>55</v>
      </c>
      <c r="H970" t="s">
        <v>34</v>
      </c>
      <c r="I970" t="s">
        <v>35</v>
      </c>
      <c r="J970" t="s">
        <v>126</v>
      </c>
      <c r="K970">
        <v>1</v>
      </c>
      <c r="L970">
        <v>1499</v>
      </c>
      <c r="M970" s="3">
        <v>0</v>
      </c>
      <c r="N970">
        <v>1499</v>
      </c>
      <c r="O970">
        <v>850</v>
      </c>
      <c r="P970">
        <v>649</v>
      </c>
      <c r="Q970" t="s">
        <v>69</v>
      </c>
      <c r="R970" t="s">
        <v>77</v>
      </c>
      <c r="S970">
        <v>4</v>
      </c>
    </row>
    <row r="971" spans="1:19">
      <c r="A971" t="s">
        <v>1316</v>
      </c>
      <c r="B971" s="2">
        <v>46024</v>
      </c>
      <c r="C971" t="s">
        <v>243</v>
      </c>
      <c r="D971" t="s">
        <v>244</v>
      </c>
      <c r="E971" t="s">
        <v>22</v>
      </c>
      <c r="F971">
        <v>38</v>
      </c>
      <c r="G971" t="s">
        <v>23</v>
      </c>
      <c r="H971" t="s">
        <v>24</v>
      </c>
      <c r="I971" t="s">
        <v>163</v>
      </c>
      <c r="J971" t="s">
        <v>214</v>
      </c>
      <c r="K971">
        <v>4</v>
      </c>
      <c r="L971">
        <v>1499</v>
      </c>
      <c r="M971" s="3">
        <v>0.2</v>
      </c>
      <c r="N971">
        <v>4796.8</v>
      </c>
      <c r="O971">
        <v>3600</v>
      </c>
      <c r="P971">
        <v>1196.8</v>
      </c>
      <c r="Q971" t="s">
        <v>66</v>
      </c>
      <c r="R971" t="s">
        <v>28</v>
      </c>
      <c r="S971">
        <v>1</v>
      </c>
    </row>
    <row r="972" spans="1:19">
      <c r="A972" t="s">
        <v>1317</v>
      </c>
      <c r="B972" s="2">
        <v>46113</v>
      </c>
      <c r="C972" t="s">
        <v>243</v>
      </c>
      <c r="D972" t="s">
        <v>244</v>
      </c>
      <c r="E972" t="s">
        <v>22</v>
      </c>
      <c r="F972">
        <v>38</v>
      </c>
      <c r="G972" t="s">
        <v>23</v>
      </c>
      <c r="H972" t="s">
        <v>24</v>
      </c>
      <c r="I972" t="s">
        <v>35</v>
      </c>
      <c r="J972" t="s">
        <v>136</v>
      </c>
      <c r="K972">
        <v>3</v>
      </c>
      <c r="L972">
        <v>799</v>
      </c>
      <c r="M972" s="3">
        <v>0.05</v>
      </c>
      <c r="N972">
        <v>2277.15</v>
      </c>
      <c r="O972">
        <v>1350</v>
      </c>
      <c r="P972">
        <v>927.15</v>
      </c>
      <c r="Q972" t="s">
        <v>69</v>
      </c>
      <c r="R972" t="s">
        <v>28</v>
      </c>
      <c r="S972">
        <v>1</v>
      </c>
    </row>
    <row r="973" spans="1:19">
      <c r="A973" t="s">
        <v>1318</v>
      </c>
      <c r="B973" s="2">
        <v>45750</v>
      </c>
      <c r="C973" t="s">
        <v>120</v>
      </c>
      <c r="D973" t="s">
        <v>121</v>
      </c>
      <c r="E973" t="s">
        <v>32</v>
      </c>
      <c r="F973">
        <v>35</v>
      </c>
      <c r="G973" t="s">
        <v>93</v>
      </c>
      <c r="H973" t="s">
        <v>94</v>
      </c>
      <c r="I973" t="s">
        <v>117</v>
      </c>
      <c r="J973" t="s">
        <v>118</v>
      </c>
      <c r="K973">
        <v>3</v>
      </c>
      <c r="L973">
        <v>999</v>
      </c>
      <c r="M973" s="3">
        <v>0.05</v>
      </c>
      <c r="N973">
        <v>2847.15</v>
      </c>
      <c r="O973">
        <v>1650</v>
      </c>
      <c r="P973">
        <v>1197.1500000000001</v>
      </c>
      <c r="Q973" t="s">
        <v>50</v>
      </c>
      <c r="R973" t="s">
        <v>28</v>
      </c>
      <c r="S973">
        <v>2</v>
      </c>
    </row>
    <row r="974" spans="1:19">
      <c r="A974" t="s">
        <v>1319</v>
      </c>
      <c r="B974" s="2">
        <v>45945</v>
      </c>
      <c r="C974" t="s">
        <v>97</v>
      </c>
      <c r="D974" t="s">
        <v>98</v>
      </c>
      <c r="E974" t="s">
        <v>22</v>
      </c>
      <c r="F974">
        <v>23</v>
      </c>
      <c r="G974" t="s">
        <v>48</v>
      </c>
      <c r="H974" t="s">
        <v>42</v>
      </c>
      <c r="I974" t="s">
        <v>35</v>
      </c>
      <c r="J974" t="s">
        <v>36</v>
      </c>
      <c r="K974">
        <v>3</v>
      </c>
      <c r="L974">
        <v>599</v>
      </c>
      <c r="M974" s="3">
        <v>0</v>
      </c>
      <c r="N974">
        <v>1797</v>
      </c>
      <c r="O974">
        <v>960</v>
      </c>
      <c r="P974">
        <v>837</v>
      </c>
      <c r="Q974" t="s">
        <v>66</v>
      </c>
      <c r="R974" t="s">
        <v>77</v>
      </c>
      <c r="S974">
        <v>2</v>
      </c>
    </row>
    <row r="975" spans="1:19">
      <c r="A975" t="s">
        <v>1320</v>
      </c>
      <c r="B975" s="2">
        <v>45942</v>
      </c>
      <c r="C975" t="s">
        <v>300</v>
      </c>
      <c r="D975" t="s">
        <v>301</v>
      </c>
      <c r="E975" t="s">
        <v>22</v>
      </c>
      <c r="F975">
        <v>24</v>
      </c>
      <c r="G975" t="s">
        <v>48</v>
      </c>
      <c r="H975" t="s">
        <v>42</v>
      </c>
      <c r="I975" t="s">
        <v>43</v>
      </c>
      <c r="J975" t="s">
        <v>49</v>
      </c>
      <c r="K975">
        <v>4</v>
      </c>
      <c r="L975">
        <v>799</v>
      </c>
      <c r="M975" s="3">
        <v>0</v>
      </c>
      <c r="N975">
        <v>3196</v>
      </c>
      <c r="O975">
        <v>1800</v>
      </c>
      <c r="P975">
        <v>1396</v>
      </c>
      <c r="Q975" t="s">
        <v>50</v>
      </c>
      <c r="R975" t="s">
        <v>28</v>
      </c>
      <c r="S975">
        <v>2</v>
      </c>
    </row>
    <row r="976" spans="1:19">
      <c r="A976" t="s">
        <v>1321</v>
      </c>
      <c r="B976" s="2">
        <v>46260</v>
      </c>
      <c r="C976" t="s">
        <v>705</v>
      </c>
      <c r="D976" t="s">
        <v>98</v>
      </c>
      <c r="E976" t="s">
        <v>32</v>
      </c>
      <c r="F976">
        <v>47</v>
      </c>
      <c r="G976" t="s">
        <v>141</v>
      </c>
      <c r="H976" t="s">
        <v>142</v>
      </c>
      <c r="I976" t="s">
        <v>43</v>
      </c>
      <c r="J976" t="s">
        <v>49</v>
      </c>
      <c r="K976">
        <v>2</v>
      </c>
      <c r="L976">
        <v>799</v>
      </c>
      <c r="M976" s="3">
        <v>0</v>
      </c>
      <c r="N976">
        <v>1598</v>
      </c>
      <c r="O976">
        <v>900</v>
      </c>
      <c r="P976">
        <v>698</v>
      </c>
      <c r="Q976" t="s">
        <v>27</v>
      </c>
      <c r="R976" t="s">
        <v>28</v>
      </c>
      <c r="S976">
        <v>2</v>
      </c>
    </row>
    <row r="977" spans="1:19">
      <c r="A977" t="s">
        <v>1322</v>
      </c>
      <c r="B977" s="2">
        <v>45938</v>
      </c>
      <c r="C977" t="s">
        <v>641</v>
      </c>
      <c r="D977" t="s">
        <v>72</v>
      </c>
      <c r="E977" t="s">
        <v>32</v>
      </c>
      <c r="F977">
        <v>51</v>
      </c>
      <c r="G977" t="s">
        <v>115</v>
      </c>
      <c r="H977" t="s">
        <v>116</v>
      </c>
      <c r="I977" t="s">
        <v>75</v>
      </c>
      <c r="J977" t="s">
        <v>86</v>
      </c>
      <c r="K977">
        <v>2</v>
      </c>
      <c r="L977">
        <v>499</v>
      </c>
      <c r="M977" s="3">
        <v>0.2</v>
      </c>
      <c r="N977">
        <v>798.4</v>
      </c>
      <c r="O977">
        <v>600</v>
      </c>
      <c r="P977">
        <v>198.4</v>
      </c>
      <c r="Q977" t="s">
        <v>27</v>
      </c>
      <c r="R977" t="s">
        <v>137</v>
      </c>
      <c r="S977">
        <v>1</v>
      </c>
    </row>
    <row r="978" spans="1:19">
      <c r="A978" t="s">
        <v>1323</v>
      </c>
      <c r="B978" s="2">
        <v>46122</v>
      </c>
      <c r="C978" t="s">
        <v>58</v>
      </c>
      <c r="D978" t="s">
        <v>59</v>
      </c>
      <c r="E978" t="s">
        <v>32</v>
      </c>
      <c r="F978">
        <v>25</v>
      </c>
      <c r="G978" t="s">
        <v>60</v>
      </c>
      <c r="H978" t="s">
        <v>61</v>
      </c>
      <c r="I978" t="s">
        <v>75</v>
      </c>
      <c r="J978" t="s">
        <v>106</v>
      </c>
      <c r="K978">
        <v>3</v>
      </c>
      <c r="L978">
        <v>899</v>
      </c>
      <c r="M978" s="3">
        <v>0.2</v>
      </c>
      <c r="N978">
        <v>2157.6</v>
      </c>
      <c r="O978">
        <v>1800</v>
      </c>
      <c r="P978">
        <v>357.6</v>
      </c>
      <c r="Q978" t="s">
        <v>69</v>
      </c>
      <c r="R978" t="s">
        <v>77</v>
      </c>
      <c r="S978">
        <v>1</v>
      </c>
    </row>
    <row r="979" spans="1:19">
      <c r="A979" t="s">
        <v>1324</v>
      </c>
      <c r="B979" s="2">
        <v>45782</v>
      </c>
      <c r="C979" t="s">
        <v>110</v>
      </c>
      <c r="D979" t="s">
        <v>111</v>
      </c>
      <c r="E979" t="s">
        <v>22</v>
      </c>
      <c r="F979">
        <v>47</v>
      </c>
      <c r="G979" t="s">
        <v>48</v>
      </c>
      <c r="H979" t="s">
        <v>42</v>
      </c>
      <c r="I979" t="s">
        <v>163</v>
      </c>
      <c r="J979" t="s">
        <v>234</v>
      </c>
      <c r="K979">
        <v>4</v>
      </c>
      <c r="L979">
        <v>999</v>
      </c>
      <c r="M979" s="3">
        <v>0.1</v>
      </c>
      <c r="N979">
        <v>3596.4</v>
      </c>
      <c r="O979">
        <v>2400</v>
      </c>
      <c r="P979">
        <v>1196.4000000000001</v>
      </c>
      <c r="Q979" t="s">
        <v>50</v>
      </c>
      <c r="R979" t="s">
        <v>28</v>
      </c>
      <c r="S979">
        <v>3</v>
      </c>
    </row>
    <row r="980" spans="1:19">
      <c r="A980" t="s">
        <v>1325</v>
      </c>
      <c r="B980" s="2">
        <v>45942</v>
      </c>
      <c r="C980" t="s">
        <v>351</v>
      </c>
      <c r="D980" t="s">
        <v>352</v>
      </c>
      <c r="E980" t="s">
        <v>32</v>
      </c>
      <c r="F980">
        <v>41</v>
      </c>
      <c r="G980" t="s">
        <v>73</v>
      </c>
      <c r="H980" t="s">
        <v>74</v>
      </c>
      <c r="I980" t="s">
        <v>25</v>
      </c>
      <c r="J980" t="s">
        <v>68</v>
      </c>
      <c r="K980">
        <v>2</v>
      </c>
      <c r="L980">
        <v>2999</v>
      </c>
      <c r="M980" s="3">
        <v>0</v>
      </c>
      <c r="N980">
        <v>5998</v>
      </c>
      <c r="O980">
        <v>3800</v>
      </c>
      <c r="P980">
        <v>2198</v>
      </c>
      <c r="Q980" t="s">
        <v>66</v>
      </c>
      <c r="R980" t="s">
        <v>28</v>
      </c>
      <c r="S980">
        <v>3</v>
      </c>
    </row>
    <row r="981" spans="1:19">
      <c r="A981" t="s">
        <v>1326</v>
      </c>
      <c r="B981" s="2">
        <v>45741</v>
      </c>
      <c r="C981" t="s">
        <v>300</v>
      </c>
      <c r="D981" t="s">
        <v>301</v>
      </c>
      <c r="E981" t="s">
        <v>22</v>
      </c>
      <c r="F981">
        <v>24</v>
      </c>
      <c r="G981" t="s">
        <v>48</v>
      </c>
      <c r="H981" t="s">
        <v>42</v>
      </c>
      <c r="I981" t="s">
        <v>163</v>
      </c>
      <c r="J981" t="s">
        <v>290</v>
      </c>
      <c r="K981">
        <v>2</v>
      </c>
      <c r="L981">
        <v>1999</v>
      </c>
      <c r="M981" s="3">
        <v>0.1</v>
      </c>
      <c r="N981">
        <v>3598.2</v>
      </c>
      <c r="O981">
        <v>2400</v>
      </c>
      <c r="P981">
        <v>1198.2</v>
      </c>
      <c r="Q981" t="s">
        <v>50</v>
      </c>
      <c r="R981" t="s">
        <v>137</v>
      </c>
      <c r="S981">
        <v>2</v>
      </c>
    </row>
    <row r="982" spans="1:19">
      <c r="A982" t="s">
        <v>1327</v>
      </c>
      <c r="B982" s="2">
        <v>45826</v>
      </c>
      <c r="C982" t="s">
        <v>100</v>
      </c>
      <c r="D982" t="s">
        <v>101</v>
      </c>
      <c r="E982" t="s">
        <v>32</v>
      </c>
      <c r="F982">
        <v>50</v>
      </c>
      <c r="G982" t="s">
        <v>55</v>
      </c>
      <c r="H982" t="s">
        <v>34</v>
      </c>
      <c r="I982" t="s">
        <v>25</v>
      </c>
      <c r="J982" t="s">
        <v>26</v>
      </c>
      <c r="K982">
        <v>2</v>
      </c>
      <c r="L982">
        <v>2499</v>
      </c>
      <c r="M982" s="3">
        <v>0.05</v>
      </c>
      <c r="N982">
        <v>4748.1000000000004</v>
      </c>
      <c r="O982">
        <v>3200</v>
      </c>
      <c r="P982">
        <v>1548.1</v>
      </c>
      <c r="Q982" t="s">
        <v>37</v>
      </c>
      <c r="R982" t="s">
        <v>28</v>
      </c>
      <c r="S982">
        <v>1</v>
      </c>
    </row>
    <row r="983" spans="1:19">
      <c r="A983" t="s">
        <v>1328</v>
      </c>
      <c r="B983" s="2">
        <v>46264</v>
      </c>
      <c r="C983" t="s">
        <v>186</v>
      </c>
      <c r="D983" t="s">
        <v>187</v>
      </c>
      <c r="E983" t="s">
        <v>22</v>
      </c>
      <c r="F983">
        <v>42</v>
      </c>
      <c r="G983" t="s">
        <v>60</v>
      </c>
      <c r="H983" t="s">
        <v>61</v>
      </c>
      <c r="I983" t="s">
        <v>35</v>
      </c>
      <c r="J983" t="s">
        <v>36</v>
      </c>
      <c r="K983">
        <v>4</v>
      </c>
      <c r="L983">
        <v>599</v>
      </c>
      <c r="M983" s="3">
        <v>0</v>
      </c>
      <c r="N983">
        <v>2396</v>
      </c>
      <c r="O983">
        <v>1280</v>
      </c>
      <c r="P983">
        <v>1116</v>
      </c>
      <c r="Q983" t="s">
        <v>37</v>
      </c>
      <c r="R983" t="s">
        <v>137</v>
      </c>
      <c r="S983">
        <v>2</v>
      </c>
    </row>
    <row r="984" spans="1:19">
      <c r="A984" t="s">
        <v>1329</v>
      </c>
      <c r="B984" s="2">
        <v>45713</v>
      </c>
      <c r="C984" t="s">
        <v>453</v>
      </c>
      <c r="D984" t="s">
        <v>454</v>
      </c>
      <c r="E984" t="s">
        <v>32</v>
      </c>
      <c r="F984">
        <v>25</v>
      </c>
      <c r="G984" t="s">
        <v>141</v>
      </c>
      <c r="H984" t="s">
        <v>142</v>
      </c>
      <c r="I984" t="s">
        <v>35</v>
      </c>
      <c r="J984" t="s">
        <v>36</v>
      </c>
      <c r="K984">
        <v>2</v>
      </c>
      <c r="L984">
        <v>599</v>
      </c>
      <c r="M984" s="3">
        <v>0.1</v>
      </c>
      <c r="N984">
        <v>1078.2</v>
      </c>
      <c r="O984">
        <v>640</v>
      </c>
      <c r="P984">
        <v>438.2</v>
      </c>
      <c r="Q984" t="s">
        <v>37</v>
      </c>
      <c r="R984" t="s">
        <v>28</v>
      </c>
      <c r="S984">
        <v>2</v>
      </c>
    </row>
    <row r="985" spans="1:19">
      <c r="A985" t="s">
        <v>1330</v>
      </c>
      <c r="B985" s="2">
        <v>46115</v>
      </c>
      <c r="C985" t="s">
        <v>261</v>
      </c>
      <c r="D985" t="s">
        <v>262</v>
      </c>
      <c r="E985" t="s">
        <v>22</v>
      </c>
      <c r="F985">
        <v>54</v>
      </c>
      <c r="G985" t="s">
        <v>60</v>
      </c>
      <c r="H985" t="s">
        <v>61</v>
      </c>
      <c r="I985" t="s">
        <v>75</v>
      </c>
      <c r="J985" t="s">
        <v>106</v>
      </c>
      <c r="K985">
        <v>4</v>
      </c>
      <c r="L985">
        <v>899</v>
      </c>
      <c r="M985" s="3">
        <v>0</v>
      </c>
      <c r="N985">
        <v>3596</v>
      </c>
      <c r="O985">
        <v>2400</v>
      </c>
      <c r="P985">
        <v>1196</v>
      </c>
      <c r="Q985" t="s">
        <v>50</v>
      </c>
      <c r="R985" t="s">
        <v>28</v>
      </c>
      <c r="S985">
        <v>1</v>
      </c>
    </row>
    <row r="986" spans="1:19">
      <c r="A986" t="s">
        <v>1331</v>
      </c>
      <c r="B986" s="2">
        <v>45788</v>
      </c>
      <c r="C986" t="s">
        <v>236</v>
      </c>
      <c r="D986" t="s">
        <v>237</v>
      </c>
      <c r="E986" t="s">
        <v>32</v>
      </c>
      <c r="F986">
        <v>34</v>
      </c>
      <c r="G986" t="s">
        <v>180</v>
      </c>
      <c r="H986" t="s">
        <v>181</v>
      </c>
      <c r="I986" t="s">
        <v>163</v>
      </c>
      <c r="J986" t="s">
        <v>290</v>
      </c>
      <c r="K986">
        <v>3</v>
      </c>
      <c r="L986">
        <v>1999</v>
      </c>
      <c r="M986" s="3">
        <v>0</v>
      </c>
      <c r="N986">
        <v>5997</v>
      </c>
      <c r="O986">
        <v>3600</v>
      </c>
      <c r="P986">
        <v>2397</v>
      </c>
      <c r="Q986" t="s">
        <v>69</v>
      </c>
      <c r="R986" t="s">
        <v>77</v>
      </c>
      <c r="S986">
        <v>4</v>
      </c>
    </row>
    <row r="987" spans="1:19">
      <c r="A987" t="s">
        <v>1332</v>
      </c>
      <c r="B987" s="2">
        <v>45762</v>
      </c>
      <c r="C987" t="s">
        <v>384</v>
      </c>
      <c r="D987" t="s">
        <v>385</v>
      </c>
      <c r="E987" t="s">
        <v>32</v>
      </c>
      <c r="F987">
        <v>22</v>
      </c>
      <c r="G987" t="s">
        <v>48</v>
      </c>
      <c r="H987" t="s">
        <v>42</v>
      </c>
      <c r="I987" t="s">
        <v>43</v>
      </c>
      <c r="J987" t="s">
        <v>44</v>
      </c>
      <c r="K987">
        <v>4</v>
      </c>
      <c r="L987">
        <v>1599</v>
      </c>
      <c r="M987" s="3">
        <v>0</v>
      </c>
      <c r="N987">
        <v>6396</v>
      </c>
      <c r="O987">
        <v>3800</v>
      </c>
      <c r="P987">
        <v>2596</v>
      </c>
      <c r="Q987" t="s">
        <v>69</v>
      </c>
      <c r="R987" t="s">
        <v>28</v>
      </c>
      <c r="S987">
        <v>3</v>
      </c>
    </row>
    <row r="988" spans="1:19">
      <c r="A988" t="s">
        <v>1333</v>
      </c>
      <c r="B988" s="2">
        <v>46078</v>
      </c>
      <c r="C988" t="s">
        <v>192</v>
      </c>
      <c r="D988" t="s">
        <v>193</v>
      </c>
      <c r="E988" t="s">
        <v>32</v>
      </c>
      <c r="F988">
        <v>47</v>
      </c>
      <c r="G988" t="s">
        <v>93</v>
      </c>
      <c r="H988" t="s">
        <v>94</v>
      </c>
      <c r="I988" t="s">
        <v>163</v>
      </c>
      <c r="J988" t="s">
        <v>290</v>
      </c>
      <c r="K988">
        <v>1</v>
      </c>
      <c r="L988">
        <v>1999</v>
      </c>
      <c r="M988" s="3">
        <v>0.2</v>
      </c>
      <c r="N988">
        <v>1599.2</v>
      </c>
      <c r="O988">
        <v>1200</v>
      </c>
      <c r="P988">
        <v>399.2</v>
      </c>
      <c r="Q988" t="s">
        <v>27</v>
      </c>
      <c r="R988" t="s">
        <v>137</v>
      </c>
      <c r="S988">
        <v>1</v>
      </c>
    </row>
    <row r="989" spans="1:19">
      <c r="A989" t="s">
        <v>1334</v>
      </c>
      <c r="B989" s="2">
        <v>45761</v>
      </c>
      <c r="C989" t="s">
        <v>161</v>
      </c>
      <c r="D989" t="s">
        <v>162</v>
      </c>
      <c r="E989" t="s">
        <v>22</v>
      </c>
      <c r="F989">
        <v>44</v>
      </c>
      <c r="G989" t="s">
        <v>146</v>
      </c>
      <c r="H989" t="s">
        <v>61</v>
      </c>
      <c r="I989" t="s">
        <v>163</v>
      </c>
      <c r="J989" t="s">
        <v>290</v>
      </c>
      <c r="K989">
        <v>4</v>
      </c>
      <c r="L989">
        <v>1999</v>
      </c>
      <c r="M989" s="3">
        <v>0.15</v>
      </c>
      <c r="N989">
        <v>6796.6</v>
      </c>
      <c r="O989">
        <v>4800</v>
      </c>
      <c r="P989">
        <v>1996.6</v>
      </c>
      <c r="Q989" t="s">
        <v>37</v>
      </c>
      <c r="R989" t="s">
        <v>28</v>
      </c>
      <c r="S989">
        <v>1</v>
      </c>
    </row>
    <row r="990" spans="1:19">
      <c r="A990" t="s">
        <v>1335</v>
      </c>
      <c r="B990" s="2">
        <v>45855</v>
      </c>
      <c r="C990" t="s">
        <v>161</v>
      </c>
      <c r="D990" t="s">
        <v>162</v>
      </c>
      <c r="E990" t="s">
        <v>22</v>
      </c>
      <c r="F990">
        <v>44</v>
      </c>
      <c r="G990" t="s">
        <v>146</v>
      </c>
      <c r="H990" t="s">
        <v>61</v>
      </c>
      <c r="I990" t="s">
        <v>35</v>
      </c>
      <c r="J990" t="s">
        <v>108</v>
      </c>
      <c r="K990">
        <v>3</v>
      </c>
      <c r="L990">
        <v>699</v>
      </c>
      <c r="M990" s="3">
        <v>0.2</v>
      </c>
      <c r="N990">
        <v>1677.6</v>
      </c>
      <c r="O990">
        <v>1140</v>
      </c>
      <c r="P990">
        <v>537.6</v>
      </c>
      <c r="Q990" t="s">
        <v>69</v>
      </c>
      <c r="R990" t="s">
        <v>28</v>
      </c>
      <c r="S990">
        <v>5</v>
      </c>
    </row>
    <row r="991" spans="1:19">
      <c r="A991" t="s">
        <v>1336</v>
      </c>
      <c r="B991" s="2">
        <v>45787</v>
      </c>
      <c r="C991" t="s">
        <v>670</v>
      </c>
      <c r="D991" t="s">
        <v>671</v>
      </c>
      <c r="E991" t="s">
        <v>22</v>
      </c>
      <c r="F991">
        <v>38</v>
      </c>
      <c r="G991" t="s">
        <v>180</v>
      </c>
      <c r="H991" t="s">
        <v>181</v>
      </c>
      <c r="I991" t="s">
        <v>75</v>
      </c>
      <c r="J991" t="s">
        <v>86</v>
      </c>
      <c r="K991">
        <v>2</v>
      </c>
      <c r="L991">
        <v>499</v>
      </c>
      <c r="M991" s="3">
        <v>0.2</v>
      </c>
      <c r="N991">
        <v>798.4</v>
      </c>
      <c r="O991">
        <v>600</v>
      </c>
      <c r="P991">
        <v>198.4</v>
      </c>
      <c r="Q991" t="s">
        <v>50</v>
      </c>
      <c r="R991" t="s">
        <v>28</v>
      </c>
      <c r="S991">
        <v>4</v>
      </c>
    </row>
    <row r="992" spans="1:19">
      <c r="A992" t="s">
        <v>1337</v>
      </c>
      <c r="B992" s="2">
        <v>45906</v>
      </c>
      <c r="C992" t="s">
        <v>148</v>
      </c>
      <c r="D992" t="s">
        <v>47</v>
      </c>
      <c r="E992" t="s">
        <v>22</v>
      </c>
      <c r="F992">
        <v>23</v>
      </c>
      <c r="G992" t="s">
        <v>93</v>
      </c>
      <c r="H992" t="s">
        <v>94</v>
      </c>
      <c r="I992" t="s">
        <v>117</v>
      </c>
      <c r="J992" t="s">
        <v>152</v>
      </c>
      <c r="K992">
        <v>4</v>
      </c>
      <c r="L992">
        <v>899</v>
      </c>
      <c r="M992" s="3">
        <v>0.05</v>
      </c>
      <c r="N992">
        <v>3416.2</v>
      </c>
      <c r="O992">
        <v>2000</v>
      </c>
      <c r="P992">
        <v>1416.2</v>
      </c>
      <c r="Q992" t="s">
        <v>27</v>
      </c>
      <c r="R992" t="s">
        <v>137</v>
      </c>
      <c r="S992">
        <v>1</v>
      </c>
    </row>
    <row r="993" spans="1:19">
      <c r="A993" t="s">
        <v>1338</v>
      </c>
      <c r="B993" s="2">
        <v>46024</v>
      </c>
      <c r="C993" t="s">
        <v>169</v>
      </c>
      <c r="D993" t="s">
        <v>170</v>
      </c>
      <c r="E993" t="s">
        <v>32</v>
      </c>
      <c r="F993">
        <v>37</v>
      </c>
      <c r="G993" t="s">
        <v>60</v>
      </c>
      <c r="H993" t="s">
        <v>61</v>
      </c>
      <c r="I993" t="s">
        <v>43</v>
      </c>
      <c r="J993" t="s">
        <v>44</v>
      </c>
      <c r="K993">
        <v>4</v>
      </c>
      <c r="L993">
        <v>1599</v>
      </c>
      <c r="M993" s="3">
        <v>0.2</v>
      </c>
      <c r="N993">
        <v>5116.8</v>
      </c>
      <c r="O993">
        <v>3800</v>
      </c>
      <c r="P993">
        <v>1316.8</v>
      </c>
      <c r="Q993" t="s">
        <v>37</v>
      </c>
      <c r="R993" t="s">
        <v>28</v>
      </c>
      <c r="S993">
        <v>5</v>
      </c>
    </row>
    <row r="994" spans="1:19">
      <c r="A994" t="s">
        <v>1339</v>
      </c>
      <c r="B994" s="2">
        <v>46009</v>
      </c>
      <c r="C994" t="s">
        <v>354</v>
      </c>
      <c r="D994" t="s">
        <v>339</v>
      </c>
      <c r="E994" t="s">
        <v>32</v>
      </c>
      <c r="F994">
        <v>25</v>
      </c>
      <c r="G994" t="s">
        <v>115</v>
      </c>
      <c r="H994" t="s">
        <v>116</v>
      </c>
      <c r="I994" t="s">
        <v>25</v>
      </c>
      <c r="J994" t="s">
        <v>62</v>
      </c>
      <c r="K994">
        <v>4</v>
      </c>
      <c r="L994">
        <v>1299</v>
      </c>
      <c r="M994" s="3">
        <v>0.1</v>
      </c>
      <c r="N994">
        <v>4676.3999999999996</v>
      </c>
      <c r="O994">
        <v>3200</v>
      </c>
      <c r="P994">
        <v>1476.4</v>
      </c>
      <c r="Q994" t="s">
        <v>37</v>
      </c>
      <c r="R994" t="s">
        <v>28</v>
      </c>
      <c r="S994">
        <v>1</v>
      </c>
    </row>
    <row r="995" spans="1:19">
      <c r="A995" t="s">
        <v>1340</v>
      </c>
      <c r="B995" s="2">
        <v>45901</v>
      </c>
      <c r="C995" t="s">
        <v>351</v>
      </c>
      <c r="D995" t="s">
        <v>352</v>
      </c>
      <c r="E995" t="s">
        <v>32</v>
      </c>
      <c r="F995">
        <v>41</v>
      </c>
      <c r="G995" t="s">
        <v>73</v>
      </c>
      <c r="H995" t="s">
        <v>74</v>
      </c>
      <c r="I995" t="s">
        <v>75</v>
      </c>
      <c r="J995" t="s">
        <v>86</v>
      </c>
      <c r="K995">
        <v>2</v>
      </c>
      <c r="L995">
        <v>499</v>
      </c>
      <c r="M995" s="3">
        <v>0</v>
      </c>
      <c r="N995">
        <v>998</v>
      </c>
      <c r="O995">
        <v>600</v>
      </c>
      <c r="P995">
        <v>398</v>
      </c>
      <c r="Q995" t="s">
        <v>50</v>
      </c>
      <c r="R995" t="s">
        <v>137</v>
      </c>
      <c r="S995">
        <v>1</v>
      </c>
    </row>
    <row r="996" spans="1:19">
      <c r="A996" t="s">
        <v>1341</v>
      </c>
      <c r="B996" s="2">
        <v>45864</v>
      </c>
      <c r="C996" t="s">
        <v>100</v>
      </c>
      <c r="D996" t="s">
        <v>101</v>
      </c>
      <c r="E996" t="s">
        <v>32</v>
      </c>
      <c r="F996">
        <v>50</v>
      </c>
      <c r="G996" t="s">
        <v>55</v>
      </c>
      <c r="H996" t="s">
        <v>34</v>
      </c>
      <c r="I996" t="s">
        <v>163</v>
      </c>
      <c r="J996" t="s">
        <v>214</v>
      </c>
      <c r="K996">
        <v>2</v>
      </c>
      <c r="L996">
        <v>1499</v>
      </c>
      <c r="M996" s="3">
        <v>0.05</v>
      </c>
      <c r="N996">
        <v>2848.1</v>
      </c>
      <c r="O996">
        <v>1800</v>
      </c>
      <c r="P996">
        <v>1048.0999999999999</v>
      </c>
      <c r="Q996" t="s">
        <v>69</v>
      </c>
      <c r="R996" t="s">
        <v>28</v>
      </c>
      <c r="S996">
        <v>4</v>
      </c>
    </row>
    <row r="997" spans="1:19">
      <c r="A997" t="s">
        <v>1342</v>
      </c>
      <c r="B997" s="2">
        <v>46237</v>
      </c>
      <c r="C997" t="s">
        <v>1185</v>
      </c>
      <c r="D997" t="s">
        <v>437</v>
      </c>
      <c r="E997" t="s">
        <v>22</v>
      </c>
      <c r="F997">
        <v>49</v>
      </c>
      <c r="G997" t="s">
        <v>23</v>
      </c>
      <c r="H997" t="s">
        <v>24</v>
      </c>
      <c r="I997" t="s">
        <v>75</v>
      </c>
      <c r="J997" t="s">
        <v>106</v>
      </c>
      <c r="K997">
        <v>3</v>
      </c>
      <c r="L997">
        <v>899</v>
      </c>
      <c r="M997" s="3">
        <v>0.2</v>
      </c>
      <c r="N997">
        <v>2157.6</v>
      </c>
      <c r="O997">
        <v>1800</v>
      </c>
      <c r="P997">
        <v>357.6</v>
      </c>
      <c r="Q997" t="s">
        <v>37</v>
      </c>
      <c r="R997" t="s">
        <v>28</v>
      </c>
      <c r="S997">
        <v>4</v>
      </c>
    </row>
    <row r="998" spans="1:19">
      <c r="A998" t="s">
        <v>1343</v>
      </c>
      <c r="B998" s="2">
        <v>45701</v>
      </c>
      <c r="C998" t="s">
        <v>247</v>
      </c>
      <c r="D998" t="s">
        <v>248</v>
      </c>
      <c r="E998" t="s">
        <v>32</v>
      </c>
      <c r="F998">
        <v>35</v>
      </c>
      <c r="G998" t="s">
        <v>33</v>
      </c>
      <c r="H998" t="s">
        <v>34</v>
      </c>
      <c r="I998" t="s">
        <v>43</v>
      </c>
      <c r="J998" t="s">
        <v>95</v>
      </c>
      <c r="K998">
        <v>1</v>
      </c>
      <c r="L998">
        <v>2499</v>
      </c>
      <c r="M998" s="3">
        <v>0.15</v>
      </c>
      <c r="N998">
        <v>2124.15</v>
      </c>
      <c r="O998">
        <v>1500</v>
      </c>
      <c r="P998">
        <v>624.15</v>
      </c>
      <c r="Q998" t="s">
        <v>66</v>
      </c>
      <c r="R998" t="s">
        <v>28</v>
      </c>
      <c r="S998">
        <v>1</v>
      </c>
    </row>
    <row r="999" spans="1:19">
      <c r="A999" t="s">
        <v>1344</v>
      </c>
      <c r="B999" s="2">
        <v>45876</v>
      </c>
      <c r="C999" t="s">
        <v>479</v>
      </c>
      <c r="D999" t="s">
        <v>480</v>
      </c>
      <c r="E999" t="s">
        <v>22</v>
      </c>
      <c r="F999">
        <v>29</v>
      </c>
      <c r="G999" t="s">
        <v>146</v>
      </c>
      <c r="H999" t="s">
        <v>61</v>
      </c>
      <c r="I999" t="s">
        <v>117</v>
      </c>
      <c r="J999" t="s">
        <v>238</v>
      </c>
      <c r="K999">
        <v>2</v>
      </c>
      <c r="L999">
        <v>2499</v>
      </c>
      <c r="M999" s="3">
        <v>0.15</v>
      </c>
      <c r="N999">
        <v>4248.3</v>
      </c>
      <c r="O999">
        <v>3000</v>
      </c>
      <c r="P999">
        <v>1248.3</v>
      </c>
      <c r="Q999" t="s">
        <v>27</v>
      </c>
      <c r="R999" t="s">
        <v>28</v>
      </c>
      <c r="S999">
        <v>3</v>
      </c>
    </row>
    <row r="1000" spans="1:19">
      <c r="A1000" t="s">
        <v>1345</v>
      </c>
      <c r="B1000" s="2">
        <v>45664</v>
      </c>
      <c r="C1000" t="s">
        <v>516</v>
      </c>
      <c r="D1000" t="s">
        <v>449</v>
      </c>
      <c r="E1000" t="s">
        <v>22</v>
      </c>
      <c r="F1000">
        <v>45</v>
      </c>
      <c r="G1000" t="s">
        <v>41</v>
      </c>
      <c r="H1000" t="s">
        <v>42</v>
      </c>
      <c r="I1000" t="s">
        <v>43</v>
      </c>
      <c r="J1000" t="s">
        <v>49</v>
      </c>
      <c r="K1000">
        <v>4</v>
      </c>
      <c r="L1000">
        <v>799</v>
      </c>
      <c r="M1000" s="3">
        <v>0.05</v>
      </c>
      <c r="N1000">
        <v>3036.2</v>
      </c>
      <c r="O1000">
        <v>1800</v>
      </c>
      <c r="P1000">
        <v>1236.2</v>
      </c>
      <c r="Q1000" t="s">
        <v>37</v>
      </c>
      <c r="R1000" t="s">
        <v>28</v>
      </c>
      <c r="S1000">
        <v>3</v>
      </c>
    </row>
    <row r="1001" spans="1:19">
      <c r="A1001" t="s">
        <v>1346</v>
      </c>
      <c r="B1001" s="2">
        <v>45955</v>
      </c>
      <c r="C1001" t="s">
        <v>186</v>
      </c>
      <c r="D1001" t="s">
        <v>187</v>
      </c>
      <c r="E1001" t="s">
        <v>22</v>
      </c>
      <c r="F1001">
        <v>42</v>
      </c>
      <c r="G1001" t="s">
        <v>60</v>
      </c>
      <c r="H1001" t="s">
        <v>61</v>
      </c>
      <c r="I1001" t="s">
        <v>35</v>
      </c>
      <c r="J1001" t="s">
        <v>126</v>
      </c>
      <c r="K1001">
        <v>1</v>
      </c>
      <c r="L1001">
        <v>1499</v>
      </c>
      <c r="M1001" s="3">
        <v>0.05</v>
      </c>
      <c r="N1001">
        <v>1424.05</v>
      </c>
      <c r="O1001">
        <v>850</v>
      </c>
      <c r="P1001">
        <v>574.04999999999995</v>
      </c>
      <c r="Q1001" t="s">
        <v>66</v>
      </c>
      <c r="R1001" t="s">
        <v>28</v>
      </c>
      <c r="S1001">
        <v>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S1001"/>
  <sheetViews>
    <sheetView workbookViewId="0">
      <pane ySplit="1" topLeftCell="A8" activePane="bottomLeft" state="frozen"/>
      <selection pane="bottomLeft"/>
    </sheetView>
  </sheetViews>
  <sheetFormatPr defaultRowHeight="14.5"/>
  <cols>
    <col min="1" max="1" width="12" customWidth="1"/>
    <col min="2" max="2" width="14" customWidth="1"/>
    <col min="3" max="3" width="13" customWidth="1"/>
    <col min="4" max="4" width="20" customWidth="1"/>
    <col min="5" max="5" width="10" customWidth="1"/>
    <col min="6" max="6" width="8" customWidth="1"/>
    <col min="7" max="7" width="15" customWidth="1"/>
    <col min="8" max="9" width="20" customWidth="1"/>
    <col min="10" max="10" width="24" customWidth="1"/>
    <col min="11" max="11" width="10" customWidth="1"/>
    <col min="12" max="12" width="12" customWidth="1"/>
    <col min="13" max="13" width="10" customWidth="1"/>
    <col min="14" max="16" width="12" customWidth="1"/>
    <col min="17" max="17" width="18" customWidth="1"/>
    <col min="18" max="18" width="15" customWidth="1"/>
    <col min="19" max="19" width="8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s="2">
        <v>46072</v>
      </c>
      <c r="C2" t="s">
        <v>20</v>
      </c>
      <c r="D2" t="s">
        <v>21</v>
      </c>
      <c r="E2" t="s">
        <v>22</v>
      </c>
      <c r="F2">
        <v>52</v>
      </c>
      <c r="G2" t="s">
        <v>23</v>
      </c>
      <c r="H2" t="s">
        <v>24</v>
      </c>
      <c r="I2" t="s">
        <v>25</v>
      </c>
      <c r="J2" t="s">
        <v>26</v>
      </c>
      <c r="K2">
        <v>3</v>
      </c>
      <c r="L2">
        <v>2499</v>
      </c>
      <c r="M2" s="3">
        <v>0.05</v>
      </c>
      <c r="N2">
        <v>7122.15</v>
      </c>
      <c r="O2">
        <v>4800</v>
      </c>
      <c r="P2">
        <v>2322.15</v>
      </c>
      <c r="Q2" t="s">
        <v>27</v>
      </c>
      <c r="R2" t="s">
        <v>28</v>
      </c>
      <c r="S2">
        <v>5</v>
      </c>
    </row>
    <row r="3" spans="1:19">
      <c r="A3" t="s">
        <v>29</v>
      </c>
      <c r="B3" s="2">
        <v>46221</v>
      </c>
      <c r="C3" t="s">
        <v>30</v>
      </c>
      <c r="D3" t="s">
        <v>31</v>
      </c>
      <c r="E3" t="s">
        <v>32</v>
      </c>
      <c r="F3">
        <v>29</v>
      </c>
      <c r="G3" t="s">
        <v>33</v>
      </c>
      <c r="H3" t="s">
        <v>34</v>
      </c>
      <c r="I3" t="s">
        <v>35</v>
      </c>
      <c r="J3" t="s">
        <v>36</v>
      </c>
      <c r="K3">
        <v>3</v>
      </c>
      <c r="L3">
        <v>599</v>
      </c>
      <c r="M3" s="3">
        <v>0.15</v>
      </c>
      <c r="N3">
        <v>1527.45</v>
      </c>
      <c r="O3">
        <v>960</v>
      </c>
      <c r="P3">
        <v>567.45000000000005</v>
      </c>
      <c r="Q3" t="s">
        <v>37</v>
      </c>
      <c r="R3" t="s">
        <v>28</v>
      </c>
      <c r="S3">
        <v>4</v>
      </c>
    </row>
    <row r="4" spans="1:19">
      <c r="A4" t="s">
        <v>38</v>
      </c>
      <c r="B4" s="2">
        <v>45781</v>
      </c>
      <c r="C4" t="s">
        <v>39</v>
      </c>
      <c r="D4" t="s">
        <v>40</v>
      </c>
      <c r="E4" t="s">
        <v>22</v>
      </c>
      <c r="F4">
        <v>39</v>
      </c>
      <c r="G4" t="s">
        <v>41</v>
      </c>
      <c r="H4" t="s">
        <v>42</v>
      </c>
      <c r="I4" t="s">
        <v>43</v>
      </c>
      <c r="J4" t="s">
        <v>44</v>
      </c>
      <c r="K4">
        <v>3</v>
      </c>
      <c r="L4">
        <v>1599</v>
      </c>
      <c r="M4" s="3">
        <v>0.05</v>
      </c>
      <c r="N4">
        <v>4557.1499999999996</v>
      </c>
      <c r="O4">
        <v>2850</v>
      </c>
      <c r="P4">
        <v>1707.15</v>
      </c>
      <c r="Q4" t="s">
        <v>27</v>
      </c>
      <c r="R4" t="s">
        <v>28</v>
      </c>
      <c r="S4">
        <v>5</v>
      </c>
    </row>
    <row r="5" spans="1:19">
      <c r="A5" t="s">
        <v>45</v>
      </c>
      <c r="B5" s="2">
        <v>45941</v>
      </c>
      <c r="C5" t="s">
        <v>46</v>
      </c>
      <c r="D5" t="s">
        <v>47</v>
      </c>
      <c r="E5" t="s">
        <v>32</v>
      </c>
      <c r="F5">
        <v>26</v>
      </c>
      <c r="G5" t="s">
        <v>48</v>
      </c>
      <c r="H5" t="s">
        <v>42</v>
      </c>
      <c r="I5" t="s">
        <v>43</v>
      </c>
      <c r="J5" t="s">
        <v>49</v>
      </c>
      <c r="K5">
        <v>2</v>
      </c>
      <c r="L5">
        <v>799</v>
      </c>
      <c r="M5" s="3">
        <v>0.15</v>
      </c>
      <c r="N5">
        <v>1358.3</v>
      </c>
      <c r="O5">
        <v>900</v>
      </c>
      <c r="P5">
        <v>458.3</v>
      </c>
      <c r="Q5" t="s">
        <v>50</v>
      </c>
      <c r="R5" t="s">
        <v>51</v>
      </c>
      <c r="S5">
        <v>5</v>
      </c>
    </row>
    <row r="6" spans="1:19">
      <c r="A6" t="s">
        <v>52</v>
      </c>
      <c r="B6" s="2">
        <v>45890</v>
      </c>
      <c r="C6" t="s">
        <v>53</v>
      </c>
      <c r="D6" t="s">
        <v>54</v>
      </c>
      <c r="E6" t="s">
        <v>22</v>
      </c>
      <c r="F6">
        <v>34</v>
      </c>
      <c r="G6" t="s">
        <v>55</v>
      </c>
      <c r="H6" t="s">
        <v>34</v>
      </c>
      <c r="I6" t="s">
        <v>25</v>
      </c>
      <c r="J6" t="s">
        <v>56</v>
      </c>
      <c r="K6">
        <v>2</v>
      </c>
      <c r="L6">
        <v>899</v>
      </c>
      <c r="M6" s="3">
        <v>0.1</v>
      </c>
      <c r="N6">
        <v>1618.2</v>
      </c>
      <c r="O6">
        <v>1100</v>
      </c>
      <c r="P6">
        <v>518.20000000000005</v>
      </c>
      <c r="Q6" t="s">
        <v>37</v>
      </c>
      <c r="R6" t="s">
        <v>28</v>
      </c>
      <c r="S6">
        <v>1</v>
      </c>
    </row>
    <row r="7" spans="1:19">
      <c r="A7" t="s">
        <v>57</v>
      </c>
      <c r="B7" s="2">
        <v>45713</v>
      </c>
      <c r="C7" t="s">
        <v>58</v>
      </c>
      <c r="D7" t="s">
        <v>59</v>
      </c>
      <c r="E7" t="s">
        <v>32</v>
      </c>
      <c r="F7">
        <v>25</v>
      </c>
      <c r="G7" t="s">
        <v>60</v>
      </c>
      <c r="H7" t="s">
        <v>61</v>
      </c>
      <c r="I7" t="s">
        <v>25</v>
      </c>
      <c r="J7" t="s">
        <v>62</v>
      </c>
      <c r="K7">
        <v>3</v>
      </c>
      <c r="L7">
        <v>1299</v>
      </c>
      <c r="M7" s="3">
        <v>0</v>
      </c>
      <c r="N7">
        <v>3897</v>
      </c>
      <c r="O7">
        <v>2400</v>
      </c>
      <c r="P7">
        <v>1497</v>
      </c>
      <c r="Q7" t="s">
        <v>50</v>
      </c>
      <c r="R7" t="s">
        <v>28</v>
      </c>
      <c r="S7">
        <v>2</v>
      </c>
    </row>
    <row r="8" spans="1:19">
      <c r="A8" t="s">
        <v>63</v>
      </c>
      <c r="B8" s="2">
        <v>45949</v>
      </c>
      <c r="C8" t="s">
        <v>64</v>
      </c>
      <c r="D8" t="s">
        <v>65</v>
      </c>
      <c r="E8" t="s">
        <v>32</v>
      </c>
      <c r="F8">
        <v>31</v>
      </c>
      <c r="G8" t="s">
        <v>33</v>
      </c>
      <c r="H8" t="s">
        <v>34</v>
      </c>
      <c r="I8" t="s">
        <v>25</v>
      </c>
      <c r="J8" t="s">
        <v>56</v>
      </c>
      <c r="K8">
        <v>1</v>
      </c>
      <c r="L8">
        <v>899</v>
      </c>
      <c r="M8" s="3">
        <v>0.2</v>
      </c>
      <c r="N8">
        <v>719.2</v>
      </c>
      <c r="O8">
        <v>550</v>
      </c>
      <c r="P8">
        <v>169.2</v>
      </c>
      <c r="Q8" t="s">
        <v>66</v>
      </c>
      <c r="R8" t="s">
        <v>28</v>
      </c>
      <c r="S8">
        <v>3</v>
      </c>
    </row>
    <row r="9" spans="1:19">
      <c r="A9" t="s">
        <v>67</v>
      </c>
      <c r="B9" s="2">
        <v>45774</v>
      </c>
      <c r="C9" t="s">
        <v>46</v>
      </c>
      <c r="D9" t="s">
        <v>47</v>
      </c>
      <c r="E9" t="s">
        <v>32</v>
      </c>
      <c r="F9">
        <v>26</v>
      </c>
      <c r="G9" t="s">
        <v>48</v>
      </c>
      <c r="H9" t="s">
        <v>42</v>
      </c>
      <c r="I9" t="s">
        <v>25</v>
      </c>
      <c r="J9" t="s">
        <v>68</v>
      </c>
      <c r="K9">
        <v>3</v>
      </c>
      <c r="L9">
        <v>2999</v>
      </c>
      <c r="M9" s="3">
        <v>0.15</v>
      </c>
      <c r="N9">
        <v>7647.45</v>
      </c>
      <c r="O9">
        <v>5700</v>
      </c>
      <c r="P9">
        <v>1947.45</v>
      </c>
      <c r="Q9" t="s">
        <v>69</v>
      </c>
      <c r="R9" t="s">
        <v>28</v>
      </c>
      <c r="S9">
        <v>1</v>
      </c>
    </row>
    <row r="10" spans="1:19">
      <c r="A10" t="s">
        <v>70</v>
      </c>
      <c r="B10" s="2">
        <v>45810</v>
      </c>
      <c r="C10" t="s">
        <v>71</v>
      </c>
      <c r="D10" t="s">
        <v>72</v>
      </c>
      <c r="E10" t="s">
        <v>32</v>
      </c>
      <c r="F10">
        <v>53</v>
      </c>
      <c r="G10" t="s">
        <v>73</v>
      </c>
      <c r="H10" t="s">
        <v>74</v>
      </c>
      <c r="I10" t="s">
        <v>75</v>
      </c>
      <c r="J10" t="s">
        <v>76</v>
      </c>
      <c r="K10">
        <v>1</v>
      </c>
      <c r="L10">
        <v>399</v>
      </c>
      <c r="M10" s="3">
        <v>0.05</v>
      </c>
      <c r="N10">
        <v>379.05</v>
      </c>
      <c r="O10">
        <v>220</v>
      </c>
      <c r="P10">
        <v>159.05000000000001</v>
      </c>
      <c r="Q10" t="s">
        <v>50</v>
      </c>
      <c r="R10" t="s">
        <v>77</v>
      </c>
      <c r="S10">
        <v>1</v>
      </c>
    </row>
    <row r="11" spans="1:19">
      <c r="A11" t="s">
        <v>78</v>
      </c>
      <c r="B11" s="2">
        <v>45889</v>
      </c>
      <c r="C11" t="s">
        <v>79</v>
      </c>
      <c r="D11" t="s">
        <v>80</v>
      </c>
      <c r="E11" t="s">
        <v>22</v>
      </c>
      <c r="F11">
        <v>22</v>
      </c>
      <c r="G11" t="s">
        <v>81</v>
      </c>
      <c r="H11" t="s">
        <v>82</v>
      </c>
      <c r="I11" t="s">
        <v>25</v>
      </c>
      <c r="J11" t="s">
        <v>56</v>
      </c>
      <c r="K11">
        <v>4</v>
      </c>
      <c r="L11">
        <v>899</v>
      </c>
      <c r="M11" s="3">
        <v>0.2</v>
      </c>
      <c r="N11">
        <v>2876.8</v>
      </c>
      <c r="O11">
        <v>2200</v>
      </c>
      <c r="P11">
        <v>676.8</v>
      </c>
      <c r="Q11" t="s">
        <v>50</v>
      </c>
      <c r="R11" t="s">
        <v>28</v>
      </c>
      <c r="S11">
        <v>4</v>
      </c>
    </row>
    <row r="12" spans="1:19">
      <c r="A12" t="s">
        <v>83</v>
      </c>
      <c r="B12" s="2">
        <v>46240</v>
      </c>
      <c r="C12" t="s">
        <v>84</v>
      </c>
      <c r="D12" t="s">
        <v>85</v>
      </c>
      <c r="E12" t="s">
        <v>32</v>
      </c>
      <c r="F12">
        <v>20</v>
      </c>
      <c r="G12" t="s">
        <v>41</v>
      </c>
      <c r="H12" t="s">
        <v>42</v>
      </c>
      <c r="I12" t="s">
        <v>75</v>
      </c>
      <c r="J12" t="s">
        <v>86</v>
      </c>
      <c r="K12">
        <v>4</v>
      </c>
      <c r="L12">
        <v>499</v>
      </c>
      <c r="M12" s="3">
        <v>0.1</v>
      </c>
      <c r="N12">
        <v>1796.4</v>
      </c>
      <c r="O12">
        <v>1200</v>
      </c>
      <c r="P12">
        <v>596.4</v>
      </c>
      <c r="Q12" t="s">
        <v>50</v>
      </c>
      <c r="R12" t="s">
        <v>28</v>
      </c>
      <c r="S12">
        <v>1</v>
      </c>
    </row>
    <row r="13" spans="1:19">
      <c r="A13" t="s">
        <v>87</v>
      </c>
      <c r="B13" s="2">
        <v>45741</v>
      </c>
      <c r="C13" t="s">
        <v>88</v>
      </c>
      <c r="D13" t="s">
        <v>89</v>
      </c>
      <c r="E13" t="s">
        <v>32</v>
      </c>
      <c r="F13">
        <v>53</v>
      </c>
      <c r="G13" t="s">
        <v>41</v>
      </c>
      <c r="H13" t="s">
        <v>42</v>
      </c>
      <c r="I13" t="s">
        <v>75</v>
      </c>
      <c r="J13" t="s">
        <v>76</v>
      </c>
      <c r="K13">
        <v>2</v>
      </c>
      <c r="L13">
        <v>399</v>
      </c>
      <c r="M13" s="3">
        <v>0.1</v>
      </c>
      <c r="N13">
        <v>718.2</v>
      </c>
      <c r="O13">
        <v>440</v>
      </c>
      <c r="P13">
        <v>278.2</v>
      </c>
      <c r="Q13" t="s">
        <v>27</v>
      </c>
      <c r="R13" t="s">
        <v>28</v>
      </c>
      <c r="S13">
        <v>5</v>
      </c>
    </row>
    <row r="14" spans="1:19">
      <c r="A14" t="s">
        <v>90</v>
      </c>
      <c r="B14" s="2">
        <v>46119</v>
      </c>
      <c r="C14" t="s">
        <v>91</v>
      </c>
      <c r="D14" t="s">
        <v>92</v>
      </c>
      <c r="E14" t="s">
        <v>32</v>
      </c>
      <c r="F14">
        <v>43</v>
      </c>
      <c r="G14" t="s">
        <v>93</v>
      </c>
      <c r="H14" t="s">
        <v>94</v>
      </c>
      <c r="I14" t="s">
        <v>43</v>
      </c>
      <c r="J14" t="s">
        <v>95</v>
      </c>
      <c r="K14">
        <v>1</v>
      </c>
      <c r="L14">
        <v>2499</v>
      </c>
      <c r="M14" s="3">
        <v>0.15</v>
      </c>
      <c r="N14">
        <v>2124.15</v>
      </c>
      <c r="O14">
        <v>1500</v>
      </c>
      <c r="P14">
        <v>624.15</v>
      </c>
      <c r="Q14" t="s">
        <v>50</v>
      </c>
      <c r="R14" t="s">
        <v>28</v>
      </c>
      <c r="S14">
        <v>1</v>
      </c>
    </row>
    <row r="15" spans="1:19">
      <c r="A15" t="s">
        <v>96</v>
      </c>
      <c r="B15" s="2">
        <v>45730</v>
      </c>
      <c r="C15" t="s">
        <v>97</v>
      </c>
      <c r="D15" t="s">
        <v>98</v>
      </c>
      <c r="E15" t="s">
        <v>22</v>
      </c>
      <c r="F15">
        <v>23</v>
      </c>
      <c r="G15" t="s">
        <v>48</v>
      </c>
      <c r="H15" t="s">
        <v>42</v>
      </c>
      <c r="I15" t="s">
        <v>43</v>
      </c>
      <c r="J15" t="s">
        <v>44</v>
      </c>
      <c r="K15">
        <v>3</v>
      </c>
      <c r="L15">
        <v>1599</v>
      </c>
      <c r="M15" s="3">
        <v>0.15</v>
      </c>
      <c r="N15">
        <v>4077.45</v>
      </c>
      <c r="O15">
        <v>2850</v>
      </c>
      <c r="P15">
        <v>1227.45</v>
      </c>
      <c r="Q15" t="s">
        <v>27</v>
      </c>
      <c r="R15" t="s">
        <v>77</v>
      </c>
      <c r="S15">
        <v>2</v>
      </c>
    </row>
    <row r="16" spans="1:19">
      <c r="A16" t="s">
        <v>99</v>
      </c>
      <c r="B16" s="2">
        <v>45930</v>
      </c>
      <c r="C16" t="s">
        <v>100</v>
      </c>
      <c r="D16" t="s">
        <v>101</v>
      </c>
      <c r="E16" t="s">
        <v>32</v>
      </c>
      <c r="F16">
        <v>50</v>
      </c>
      <c r="G16" t="s">
        <v>55</v>
      </c>
      <c r="H16" t="s">
        <v>34</v>
      </c>
      <c r="I16" t="s">
        <v>25</v>
      </c>
      <c r="J16" t="s">
        <v>56</v>
      </c>
      <c r="K16">
        <v>2</v>
      </c>
      <c r="L16">
        <v>899</v>
      </c>
      <c r="M16" s="3">
        <v>0.05</v>
      </c>
      <c r="N16">
        <v>1708.1</v>
      </c>
      <c r="O16">
        <v>1100</v>
      </c>
      <c r="P16">
        <v>608.1</v>
      </c>
      <c r="Q16" t="s">
        <v>27</v>
      </c>
      <c r="R16" t="s">
        <v>28</v>
      </c>
      <c r="S16">
        <v>2</v>
      </c>
    </row>
    <row r="17" spans="1:19">
      <c r="A17" t="s">
        <v>102</v>
      </c>
      <c r="B17" s="2">
        <v>45785</v>
      </c>
      <c r="C17" t="s">
        <v>103</v>
      </c>
      <c r="D17" t="s">
        <v>104</v>
      </c>
      <c r="E17" t="s">
        <v>32</v>
      </c>
      <c r="F17">
        <v>27</v>
      </c>
      <c r="G17" t="s">
        <v>105</v>
      </c>
      <c r="H17" t="s">
        <v>105</v>
      </c>
      <c r="I17" t="s">
        <v>75</v>
      </c>
      <c r="J17" t="s">
        <v>106</v>
      </c>
      <c r="K17">
        <v>3</v>
      </c>
      <c r="L17">
        <v>899</v>
      </c>
      <c r="M17" s="3">
        <v>0.15</v>
      </c>
      <c r="N17">
        <v>2292.4499999999998</v>
      </c>
      <c r="O17">
        <v>1800</v>
      </c>
      <c r="P17">
        <v>492.45</v>
      </c>
      <c r="Q17" t="s">
        <v>66</v>
      </c>
      <c r="R17" t="s">
        <v>28</v>
      </c>
      <c r="S17">
        <v>4</v>
      </c>
    </row>
    <row r="18" spans="1:19">
      <c r="A18" t="s">
        <v>107</v>
      </c>
      <c r="B18" s="2">
        <v>45740</v>
      </c>
      <c r="C18" t="s">
        <v>39</v>
      </c>
      <c r="D18" t="s">
        <v>40</v>
      </c>
      <c r="E18" t="s">
        <v>22</v>
      </c>
      <c r="F18">
        <v>39</v>
      </c>
      <c r="G18" t="s">
        <v>41</v>
      </c>
      <c r="H18" t="s">
        <v>42</v>
      </c>
      <c r="I18" t="s">
        <v>35</v>
      </c>
      <c r="J18" t="s">
        <v>108</v>
      </c>
      <c r="K18">
        <v>4</v>
      </c>
      <c r="L18">
        <v>699</v>
      </c>
      <c r="M18" s="3">
        <v>0.15</v>
      </c>
      <c r="N18">
        <v>2376.6</v>
      </c>
      <c r="O18">
        <v>1520</v>
      </c>
      <c r="P18">
        <v>856.6</v>
      </c>
      <c r="Q18" t="s">
        <v>50</v>
      </c>
      <c r="R18" t="s">
        <v>28</v>
      </c>
      <c r="S18">
        <v>4</v>
      </c>
    </row>
    <row r="19" spans="1:19">
      <c r="A19" t="s">
        <v>109</v>
      </c>
      <c r="B19" s="2">
        <v>45751</v>
      </c>
      <c r="C19" t="s">
        <v>110</v>
      </c>
      <c r="D19" t="s">
        <v>111</v>
      </c>
      <c r="E19" t="s">
        <v>22</v>
      </c>
      <c r="F19">
        <v>47</v>
      </c>
      <c r="G19" t="s">
        <v>48</v>
      </c>
      <c r="H19" t="s">
        <v>42</v>
      </c>
      <c r="I19" t="s">
        <v>75</v>
      </c>
      <c r="J19" t="s">
        <v>106</v>
      </c>
      <c r="K19">
        <v>3</v>
      </c>
      <c r="L19">
        <v>899</v>
      </c>
      <c r="M19" s="3">
        <v>0</v>
      </c>
      <c r="N19">
        <v>2697</v>
      </c>
      <c r="O19">
        <v>1800</v>
      </c>
      <c r="P19">
        <v>897</v>
      </c>
      <c r="Q19" t="s">
        <v>27</v>
      </c>
      <c r="R19" t="s">
        <v>51</v>
      </c>
      <c r="S19">
        <v>5</v>
      </c>
    </row>
    <row r="20" spans="1:19">
      <c r="A20" t="s">
        <v>112</v>
      </c>
      <c r="B20" s="2">
        <v>45699</v>
      </c>
      <c r="C20" t="s">
        <v>113</v>
      </c>
      <c r="D20" t="s">
        <v>114</v>
      </c>
      <c r="E20" t="s">
        <v>32</v>
      </c>
      <c r="F20">
        <v>18</v>
      </c>
      <c r="G20" t="s">
        <v>115</v>
      </c>
      <c r="H20" t="s">
        <v>116</v>
      </c>
      <c r="I20" t="s">
        <v>117</v>
      </c>
      <c r="J20" t="s">
        <v>118</v>
      </c>
      <c r="K20">
        <v>3</v>
      </c>
      <c r="L20">
        <v>999</v>
      </c>
      <c r="M20" s="3">
        <v>0.2</v>
      </c>
      <c r="N20">
        <v>2397.6</v>
      </c>
      <c r="O20">
        <v>1650</v>
      </c>
      <c r="P20">
        <v>747.6</v>
      </c>
      <c r="Q20" t="s">
        <v>27</v>
      </c>
      <c r="R20" t="s">
        <v>28</v>
      </c>
      <c r="S20">
        <v>4</v>
      </c>
    </row>
    <row r="21" spans="1:19">
      <c r="A21" t="s">
        <v>119</v>
      </c>
      <c r="B21" s="2">
        <v>45751</v>
      </c>
      <c r="C21" t="s">
        <v>120</v>
      </c>
      <c r="D21" t="s">
        <v>121</v>
      </c>
      <c r="E21" t="s">
        <v>32</v>
      </c>
      <c r="F21">
        <v>35</v>
      </c>
      <c r="G21" t="s">
        <v>93</v>
      </c>
      <c r="H21" t="s">
        <v>94</v>
      </c>
      <c r="I21" t="s">
        <v>43</v>
      </c>
      <c r="J21" t="s">
        <v>95</v>
      </c>
      <c r="K21">
        <v>4</v>
      </c>
      <c r="L21">
        <v>2499</v>
      </c>
      <c r="M21" s="3">
        <v>0.15</v>
      </c>
      <c r="N21">
        <v>8496.6</v>
      </c>
      <c r="O21">
        <v>6000</v>
      </c>
      <c r="P21">
        <v>2496.6</v>
      </c>
      <c r="Q21" t="s">
        <v>66</v>
      </c>
      <c r="R21" t="s">
        <v>28</v>
      </c>
      <c r="S21">
        <v>3</v>
      </c>
    </row>
    <row r="22" spans="1:19">
      <c r="A22" t="s">
        <v>122</v>
      </c>
      <c r="B22" s="2">
        <v>45995</v>
      </c>
      <c r="C22" t="s">
        <v>110</v>
      </c>
      <c r="D22" t="s">
        <v>111</v>
      </c>
      <c r="E22" t="s">
        <v>22</v>
      </c>
      <c r="F22">
        <v>47</v>
      </c>
      <c r="G22" t="s">
        <v>48</v>
      </c>
      <c r="H22" t="s">
        <v>42</v>
      </c>
      <c r="I22" t="s">
        <v>117</v>
      </c>
      <c r="J22" t="s">
        <v>118</v>
      </c>
      <c r="K22">
        <v>1</v>
      </c>
      <c r="L22">
        <v>999</v>
      </c>
      <c r="M22" s="3">
        <v>0.05</v>
      </c>
      <c r="N22">
        <v>949.05</v>
      </c>
      <c r="O22">
        <v>550</v>
      </c>
      <c r="P22">
        <v>399.05</v>
      </c>
      <c r="Q22" t="s">
        <v>66</v>
      </c>
      <c r="R22" t="s">
        <v>28</v>
      </c>
      <c r="S22">
        <v>3</v>
      </c>
    </row>
    <row r="23" spans="1:19">
      <c r="A23" t="s">
        <v>123</v>
      </c>
      <c r="B23" s="2">
        <v>45748</v>
      </c>
      <c r="C23" t="s">
        <v>124</v>
      </c>
      <c r="D23" t="s">
        <v>125</v>
      </c>
      <c r="E23" t="s">
        <v>32</v>
      </c>
      <c r="F23">
        <v>22</v>
      </c>
      <c r="G23" t="s">
        <v>48</v>
      </c>
      <c r="H23" t="s">
        <v>42</v>
      </c>
      <c r="I23" t="s">
        <v>35</v>
      </c>
      <c r="J23" t="s">
        <v>126</v>
      </c>
      <c r="K23">
        <v>1</v>
      </c>
      <c r="L23">
        <v>1499</v>
      </c>
      <c r="M23" s="3">
        <v>0.15</v>
      </c>
      <c r="N23">
        <v>1274.1500000000001</v>
      </c>
      <c r="O23">
        <v>850</v>
      </c>
      <c r="P23">
        <v>424.15</v>
      </c>
      <c r="Q23" t="s">
        <v>37</v>
      </c>
      <c r="R23" t="s">
        <v>28</v>
      </c>
      <c r="S23">
        <v>1</v>
      </c>
    </row>
    <row r="24" spans="1:19">
      <c r="A24" t="s">
        <v>127</v>
      </c>
      <c r="B24" s="2">
        <v>46131</v>
      </c>
      <c r="C24" t="s">
        <v>128</v>
      </c>
      <c r="D24" t="s">
        <v>129</v>
      </c>
      <c r="E24" t="s">
        <v>22</v>
      </c>
      <c r="F24">
        <v>42</v>
      </c>
      <c r="G24" t="s">
        <v>105</v>
      </c>
      <c r="H24" t="s">
        <v>105</v>
      </c>
      <c r="I24" t="s">
        <v>35</v>
      </c>
      <c r="J24" t="s">
        <v>108</v>
      </c>
      <c r="K24">
        <v>1</v>
      </c>
      <c r="L24">
        <v>699</v>
      </c>
      <c r="M24" s="3">
        <v>0.2</v>
      </c>
      <c r="N24">
        <v>559.20000000000005</v>
      </c>
      <c r="O24">
        <v>380</v>
      </c>
      <c r="P24">
        <v>179.2</v>
      </c>
      <c r="Q24" t="s">
        <v>66</v>
      </c>
      <c r="R24" t="s">
        <v>28</v>
      </c>
      <c r="S24">
        <v>5</v>
      </c>
    </row>
    <row r="25" spans="1:19">
      <c r="A25" t="s">
        <v>130</v>
      </c>
      <c r="B25" s="2">
        <v>45710</v>
      </c>
      <c r="C25" t="s">
        <v>131</v>
      </c>
      <c r="D25" t="s">
        <v>132</v>
      </c>
      <c r="E25" t="s">
        <v>32</v>
      </c>
      <c r="F25">
        <v>44</v>
      </c>
      <c r="G25" t="s">
        <v>23</v>
      </c>
      <c r="H25" t="s">
        <v>24</v>
      </c>
      <c r="I25" t="s">
        <v>75</v>
      </c>
      <c r="J25" t="s">
        <v>106</v>
      </c>
      <c r="K25">
        <v>4</v>
      </c>
      <c r="L25">
        <v>899</v>
      </c>
      <c r="M25" s="3">
        <v>0.15</v>
      </c>
      <c r="N25">
        <v>3056.6</v>
      </c>
      <c r="O25">
        <v>2400</v>
      </c>
      <c r="P25">
        <v>656.6</v>
      </c>
      <c r="Q25" t="s">
        <v>27</v>
      </c>
      <c r="R25" t="s">
        <v>28</v>
      </c>
      <c r="S25">
        <v>2</v>
      </c>
    </row>
    <row r="26" spans="1:19">
      <c r="A26" t="s">
        <v>133</v>
      </c>
      <c r="B26" s="2">
        <v>45687</v>
      </c>
      <c r="C26" t="s">
        <v>134</v>
      </c>
      <c r="D26" t="s">
        <v>135</v>
      </c>
      <c r="E26" t="s">
        <v>32</v>
      </c>
      <c r="F26">
        <v>53</v>
      </c>
      <c r="G26" t="s">
        <v>23</v>
      </c>
      <c r="H26" t="s">
        <v>24</v>
      </c>
      <c r="I26" t="s">
        <v>35</v>
      </c>
      <c r="J26" t="s">
        <v>136</v>
      </c>
      <c r="K26">
        <v>4</v>
      </c>
      <c r="L26">
        <v>799</v>
      </c>
      <c r="M26" s="3">
        <v>0</v>
      </c>
      <c r="N26">
        <v>3196</v>
      </c>
      <c r="O26">
        <v>1800</v>
      </c>
      <c r="P26">
        <v>1396</v>
      </c>
      <c r="Q26" t="s">
        <v>50</v>
      </c>
      <c r="R26" t="s">
        <v>137</v>
      </c>
      <c r="S26">
        <v>2</v>
      </c>
    </row>
    <row r="27" spans="1:19">
      <c r="A27" t="s">
        <v>138</v>
      </c>
      <c r="B27" s="2">
        <v>46075</v>
      </c>
      <c r="C27" t="s">
        <v>139</v>
      </c>
      <c r="D27" t="s">
        <v>140</v>
      </c>
      <c r="E27" t="s">
        <v>22</v>
      </c>
      <c r="F27">
        <v>44</v>
      </c>
      <c r="G27" t="s">
        <v>141</v>
      </c>
      <c r="H27" t="s">
        <v>142</v>
      </c>
      <c r="I27" t="s">
        <v>35</v>
      </c>
      <c r="J27" t="s">
        <v>126</v>
      </c>
      <c r="K27">
        <v>1</v>
      </c>
      <c r="L27">
        <v>1499</v>
      </c>
      <c r="M27" s="3">
        <v>0.2</v>
      </c>
      <c r="N27">
        <v>1199.2</v>
      </c>
      <c r="O27">
        <v>850</v>
      </c>
      <c r="P27">
        <v>349.2</v>
      </c>
      <c r="Q27" t="s">
        <v>69</v>
      </c>
      <c r="R27" t="s">
        <v>28</v>
      </c>
      <c r="S27">
        <v>1</v>
      </c>
    </row>
    <row r="28" spans="1:19">
      <c r="A28" t="s">
        <v>143</v>
      </c>
      <c r="B28" s="2">
        <v>45956</v>
      </c>
      <c r="C28" t="s">
        <v>144</v>
      </c>
      <c r="D28" t="s">
        <v>145</v>
      </c>
      <c r="E28" t="s">
        <v>32</v>
      </c>
      <c r="F28">
        <v>37</v>
      </c>
      <c r="G28" t="s">
        <v>146</v>
      </c>
      <c r="H28" t="s">
        <v>61</v>
      </c>
      <c r="I28" t="s">
        <v>25</v>
      </c>
      <c r="J28" t="s">
        <v>56</v>
      </c>
      <c r="K28">
        <v>2</v>
      </c>
      <c r="L28">
        <v>899</v>
      </c>
      <c r="M28" s="3">
        <v>0.15</v>
      </c>
      <c r="N28">
        <v>1528.3</v>
      </c>
      <c r="O28">
        <v>1100</v>
      </c>
      <c r="P28">
        <v>428.3</v>
      </c>
      <c r="Q28" t="s">
        <v>50</v>
      </c>
      <c r="R28" t="s">
        <v>28</v>
      </c>
      <c r="S28">
        <v>4</v>
      </c>
    </row>
    <row r="29" spans="1:19">
      <c r="A29" t="s">
        <v>147</v>
      </c>
      <c r="B29" s="2">
        <v>46222</v>
      </c>
      <c r="C29" t="s">
        <v>148</v>
      </c>
      <c r="D29" t="s">
        <v>47</v>
      </c>
      <c r="E29" t="s">
        <v>22</v>
      </c>
      <c r="F29">
        <v>23</v>
      </c>
      <c r="G29" t="s">
        <v>93</v>
      </c>
      <c r="H29" t="s">
        <v>94</v>
      </c>
      <c r="I29" t="s">
        <v>35</v>
      </c>
      <c r="J29" t="s">
        <v>36</v>
      </c>
      <c r="K29">
        <v>2</v>
      </c>
      <c r="L29">
        <v>599</v>
      </c>
      <c r="M29" s="3">
        <v>0.15</v>
      </c>
      <c r="N29">
        <v>1018.3</v>
      </c>
      <c r="O29">
        <v>640</v>
      </c>
      <c r="P29">
        <v>378.3</v>
      </c>
      <c r="Q29" t="s">
        <v>27</v>
      </c>
      <c r="R29" t="s">
        <v>28</v>
      </c>
      <c r="S29">
        <v>5</v>
      </c>
    </row>
    <row r="30" spans="1:19">
      <c r="A30" t="s">
        <v>149</v>
      </c>
      <c r="B30" s="2">
        <v>45940</v>
      </c>
      <c r="C30" t="s">
        <v>150</v>
      </c>
      <c r="D30" t="s">
        <v>151</v>
      </c>
      <c r="E30" t="s">
        <v>22</v>
      </c>
      <c r="F30">
        <v>33</v>
      </c>
      <c r="G30" t="s">
        <v>81</v>
      </c>
      <c r="H30" t="s">
        <v>82</v>
      </c>
      <c r="I30" t="s">
        <v>117</v>
      </c>
      <c r="J30" t="s">
        <v>152</v>
      </c>
      <c r="K30">
        <v>2</v>
      </c>
      <c r="L30">
        <v>899</v>
      </c>
      <c r="M30" s="3">
        <v>0</v>
      </c>
      <c r="N30">
        <v>1798</v>
      </c>
      <c r="O30">
        <v>1000</v>
      </c>
      <c r="P30">
        <v>798</v>
      </c>
      <c r="Q30" t="s">
        <v>66</v>
      </c>
      <c r="R30" t="s">
        <v>28</v>
      </c>
      <c r="S30">
        <v>5</v>
      </c>
    </row>
    <row r="31" spans="1:19">
      <c r="A31" t="s">
        <v>153</v>
      </c>
      <c r="B31" s="2">
        <v>46259</v>
      </c>
      <c r="C31" t="s">
        <v>154</v>
      </c>
      <c r="D31" t="s">
        <v>155</v>
      </c>
      <c r="E31" t="s">
        <v>22</v>
      </c>
      <c r="F31">
        <v>53</v>
      </c>
      <c r="G31" t="s">
        <v>105</v>
      </c>
      <c r="H31" t="s">
        <v>105</v>
      </c>
      <c r="I31" t="s">
        <v>25</v>
      </c>
      <c r="J31" t="s">
        <v>156</v>
      </c>
      <c r="K31">
        <v>3</v>
      </c>
      <c r="L31">
        <v>1999</v>
      </c>
      <c r="M31" s="3">
        <v>0.1</v>
      </c>
      <c r="N31">
        <v>5397.3</v>
      </c>
      <c r="O31">
        <v>3900</v>
      </c>
      <c r="P31">
        <v>1497.3</v>
      </c>
      <c r="Q31" t="s">
        <v>50</v>
      </c>
      <c r="R31" t="s">
        <v>51</v>
      </c>
      <c r="S31">
        <v>4</v>
      </c>
    </row>
    <row r="32" spans="1:19">
      <c r="A32" t="s">
        <v>157</v>
      </c>
      <c r="B32" s="2">
        <v>45998</v>
      </c>
      <c r="C32" t="s">
        <v>158</v>
      </c>
      <c r="D32" t="s">
        <v>159</v>
      </c>
      <c r="E32" t="s">
        <v>32</v>
      </c>
      <c r="F32">
        <v>19</v>
      </c>
      <c r="G32" t="s">
        <v>60</v>
      </c>
      <c r="H32" t="s">
        <v>61</v>
      </c>
      <c r="I32" t="s">
        <v>35</v>
      </c>
      <c r="J32" t="s">
        <v>136</v>
      </c>
      <c r="K32">
        <v>4</v>
      </c>
      <c r="L32">
        <v>799</v>
      </c>
      <c r="M32" s="3">
        <v>0.1</v>
      </c>
      <c r="N32">
        <v>2876.4</v>
      </c>
      <c r="O32">
        <v>1800</v>
      </c>
      <c r="P32">
        <v>1076.4000000000001</v>
      </c>
      <c r="Q32" t="s">
        <v>50</v>
      </c>
      <c r="R32" t="s">
        <v>28</v>
      </c>
      <c r="S32">
        <v>4</v>
      </c>
    </row>
    <row r="33" spans="1:19">
      <c r="A33" t="s">
        <v>160</v>
      </c>
      <c r="B33" s="2">
        <v>46243</v>
      </c>
      <c r="C33" t="s">
        <v>161</v>
      </c>
      <c r="D33" t="s">
        <v>162</v>
      </c>
      <c r="E33" t="s">
        <v>22</v>
      </c>
      <c r="F33">
        <v>44</v>
      </c>
      <c r="G33" t="s">
        <v>146</v>
      </c>
      <c r="H33" t="s">
        <v>61</v>
      </c>
      <c r="I33" t="s">
        <v>163</v>
      </c>
      <c r="J33" t="s">
        <v>164</v>
      </c>
      <c r="K33">
        <v>2</v>
      </c>
      <c r="L33">
        <v>3499</v>
      </c>
      <c r="M33" s="3">
        <v>0.05</v>
      </c>
      <c r="N33">
        <v>6648.1</v>
      </c>
      <c r="O33">
        <v>4400</v>
      </c>
      <c r="P33">
        <v>2248.1</v>
      </c>
      <c r="Q33" t="s">
        <v>66</v>
      </c>
      <c r="R33" t="s">
        <v>28</v>
      </c>
      <c r="S33">
        <v>4</v>
      </c>
    </row>
    <row r="34" spans="1:19">
      <c r="A34" t="s">
        <v>165</v>
      </c>
      <c r="B34" s="2">
        <v>46053</v>
      </c>
      <c r="C34" t="s">
        <v>166</v>
      </c>
      <c r="D34" t="s">
        <v>167</v>
      </c>
      <c r="E34" t="s">
        <v>22</v>
      </c>
      <c r="F34">
        <v>36</v>
      </c>
      <c r="G34" t="s">
        <v>146</v>
      </c>
      <c r="H34" t="s">
        <v>61</v>
      </c>
      <c r="I34" t="s">
        <v>163</v>
      </c>
      <c r="J34" t="s">
        <v>164</v>
      </c>
      <c r="K34">
        <v>4</v>
      </c>
      <c r="L34">
        <v>3499</v>
      </c>
      <c r="M34" s="3">
        <v>0.15</v>
      </c>
      <c r="N34">
        <v>11896.6</v>
      </c>
      <c r="O34">
        <v>8800</v>
      </c>
      <c r="P34">
        <v>3096.6</v>
      </c>
      <c r="Q34" t="s">
        <v>27</v>
      </c>
      <c r="R34" t="s">
        <v>28</v>
      </c>
      <c r="S34">
        <v>1</v>
      </c>
    </row>
    <row r="35" spans="1:19">
      <c r="A35" t="s">
        <v>168</v>
      </c>
      <c r="B35" s="2">
        <v>46108</v>
      </c>
      <c r="C35" t="s">
        <v>169</v>
      </c>
      <c r="D35" t="s">
        <v>170</v>
      </c>
      <c r="E35" t="s">
        <v>32</v>
      </c>
      <c r="F35">
        <v>37</v>
      </c>
      <c r="G35" t="s">
        <v>60</v>
      </c>
      <c r="H35" t="s">
        <v>61</v>
      </c>
      <c r="I35" t="s">
        <v>35</v>
      </c>
      <c r="J35" t="s">
        <v>108</v>
      </c>
      <c r="K35">
        <v>3</v>
      </c>
      <c r="L35">
        <v>699</v>
      </c>
      <c r="M35" s="3">
        <v>0</v>
      </c>
      <c r="N35">
        <v>2097</v>
      </c>
      <c r="O35">
        <v>1140</v>
      </c>
      <c r="P35">
        <v>957</v>
      </c>
      <c r="Q35" t="s">
        <v>69</v>
      </c>
      <c r="R35" t="s">
        <v>28</v>
      </c>
      <c r="S35">
        <v>4</v>
      </c>
    </row>
    <row r="36" spans="1:19">
      <c r="A36" t="s">
        <v>171</v>
      </c>
      <c r="B36" s="2">
        <v>45816</v>
      </c>
      <c r="C36" t="s">
        <v>172</v>
      </c>
      <c r="D36" t="s">
        <v>173</v>
      </c>
      <c r="E36" t="s">
        <v>22</v>
      </c>
      <c r="F36">
        <v>50</v>
      </c>
      <c r="G36" t="s">
        <v>48</v>
      </c>
      <c r="H36" t="s">
        <v>42</v>
      </c>
      <c r="I36" t="s">
        <v>117</v>
      </c>
      <c r="J36" t="s">
        <v>152</v>
      </c>
      <c r="K36">
        <v>2</v>
      </c>
      <c r="L36">
        <v>899</v>
      </c>
      <c r="M36" s="3">
        <v>0.15</v>
      </c>
      <c r="N36">
        <v>1528.3</v>
      </c>
      <c r="O36">
        <v>1000</v>
      </c>
      <c r="P36">
        <v>528.29999999999995</v>
      </c>
      <c r="Q36" t="s">
        <v>69</v>
      </c>
      <c r="R36" t="s">
        <v>28</v>
      </c>
      <c r="S36">
        <v>3</v>
      </c>
    </row>
    <row r="37" spans="1:19">
      <c r="A37" t="s">
        <v>174</v>
      </c>
      <c r="B37" s="2">
        <v>45994</v>
      </c>
      <c r="C37" t="s">
        <v>175</v>
      </c>
      <c r="D37" t="s">
        <v>176</v>
      </c>
      <c r="E37" t="s">
        <v>32</v>
      </c>
      <c r="F37">
        <v>29</v>
      </c>
      <c r="G37" t="s">
        <v>60</v>
      </c>
      <c r="H37" t="s">
        <v>61</v>
      </c>
      <c r="I37" t="s">
        <v>75</v>
      </c>
      <c r="J37" t="s">
        <v>106</v>
      </c>
      <c r="K37">
        <v>4</v>
      </c>
      <c r="L37">
        <v>899</v>
      </c>
      <c r="M37" s="3">
        <v>0</v>
      </c>
      <c r="N37">
        <v>3596</v>
      </c>
      <c r="O37">
        <v>2400</v>
      </c>
      <c r="P37">
        <v>1196</v>
      </c>
      <c r="Q37" t="s">
        <v>50</v>
      </c>
      <c r="R37" t="s">
        <v>28</v>
      </c>
      <c r="S37">
        <v>3</v>
      </c>
    </row>
    <row r="38" spans="1:19">
      <c r="A38" t="s">
        <v>177</v>
      </c>
      <c r="B38" s="2">
        <v>45728</v>
      </c>
      <c r="C38" t="s">
        <v>178</v>
      </c>
      <c r="D38" t="s">
        <v>179</v>
      </c>
      <c r="E38" t="s">
        <v>32</v>
      </c>
      <c r="F38">
        <v>29</v>
      </c>
      <c r="G38" t="s">
        <v>180</v>
      </c>
      <c r="H38" t="s">
        <v>181</v>
      </c>
      <c r="I38" t="s">
        <v>35</v>
      </c>
      <c r="J38" t="s">
        <v>126</v>
      </c>
      <c r="K38">
        <v>1</v>
      </c>
      <c r="L38">
        <v>1499</v>
      </c>
      <c r="M38" s="3">
        <v>0.2</v>
      </c>
      <c r="N38">
        <v>1199.2</v>
      </c>
      <c r="O38">
        <v>850</v>
      </c>
      <c r="P38">
        <v>349.2</v>
      </c>
      <c r="Q38" t="s">
        <v>27</v>
      </c>
      <c r="R38" t="s">
        <v>28</v>
      </c>
      <c r="S38">
        <v>3</v>
      </c>
    </row>
    <row r="39" spans="1:19">
      <c r="A39" t="s">
        <v>182</v>
      </c>
      <c r="B39" s="2">
        <v>45758</v>
      </c>
      <c r="C39" t="s">
        <v>183</v>
      </c>
      <c r="D39" t="s">
        <v>184</v>
      </c>
      <c r="E39" t="s">
        <v>22</v>
      </c>
      <c r="F39">
        <v>43</v>
      </c>
      <c r="G39" t="s">
        <v>60</v>
      </c>
      <c r="H39" t="s">
        <v>61</v>
      </c>
      <c r="I39" t="s">
        <v>117</v>
      </c>
      <c r="J39" t="s">
        <v>152</v>
      </c>
      <c r="K39">
        <v>1</v>
      </c>
      <c r="L39">
        <v>899</v>
      </c>
      <c r="M39" s="3">
        <v>0.15</v>
      </c>
      <c r="N39">
        <v>764.15</v>
      </c>
      <c r="O39">
        <v>500</v>
      </c>
      <c r="P39">
        <v>264.14999999999998</v>
      </c>
      <c r="Q39" t="s">
        <v>69</v>
      </c>
      <c r="R39" t="s">
        <v>28</v>
      </c>
      <c r="S39">
        <v>3</v>
      </c>
    </row>
    <row r="40" spans="1:19">
      <c r="A40" t="s">
        <v>185</v>
      </c>
      <c r="B40" s="2">
        <v>45958</v>
      </c>
      <c r="C40" t="s">
        <v>186</v>
      </c>
      <c r="D40" t="s">
        <v>187</v>
      </c>
      <c r="E40" t="s">
        <v>22</v>
      </c>
      <c r="F40">
        <v>42</v>
      </c>
      <c r="G40" t="s">
        <v>60</v>
      </c>
      <c r="H40" t="s">
        <v>61</v>
      </c>
      <c r="I40" t="s">
        <v>25</v>
      </c>
      <c r="J40" t="s">
        <v>68</v>
      </c>
      <c r="K40">
        <v>3</v>
      </c>
      <c r="L40">
        <v>2999</v>
      </c>
      <c r="M40" s="3">
        <v>0</v>
      </c>
      <c r="N40">
        <v>8997</v>
      </c>
      <c r="O40">
        <v>5700</v>
      </c>
      <c r="P40">
        <v>3297</v>
      </c>
      <c r="Q40" t="s">
        <v>37</v>
      </c>
      <c r="R40" t="s">
        <v>28</v>
      </c>
      <c r="S40">
        <v>2</v>
      </c>
    </row>
    <row r="41" spans="1:19">
      <c r="A41" t="s">
        <v>188</v>
      </c>
      <c r="B41" s="2">
        <v>45842</v>
      </c>
      <c r="C41" t="s">
        <v>189</v>
      </c>
      <c r="D41" t="s">
        <v>190</v>
      </c>
      <c r="E41" t="s">
        <v>32</v>
      </c>
      <c r="F41">
        <v>22</v>
      </c>
      <c r="G41" t="s">
        <v>115</v>
      </c>
      <c r="H41" t="s">
        <v>116</v>
      </c>
      <c r="I41" t="s">
        <v>35</v>
      </c>
      <c r="J41" t="s">
        <v>108</v>
      </c>
      <c r="K41">
        <v>4</v>
      </c>
      <c r="L41">
        <v>699</v>
      </c>
      <c r="M41" s="3">
        <v>0.2</v>
      </c>
      <c r="N41">
        <v>2236.8000000000002</v>
      </c>
      <c r="O41">
        <v>1520</v>
      </c>
      <c r="P41">
        <v>716.8</v>
      </c>
      <c r="Q41" t="s">
        <v>27</v>
      </c>
      <c r="R41" t="s">
        <v>28</v>
      </c>
      <c r="S41">
        <v>5</v>
      </c>
    </row>
    <row r="42" spans="1:19">
      <c r="A42" t="s">
        <v>191</v>
      </c>
      <c r="B42" s="2">
        <v>46255</v>
      </c>
      <c r="C42" t="s">
        <v>192</v>
      </c>
      <c r="D42" t="s">
        <v>193</v>
      </c>
      <c r="E42" t="s">
        <v>32</v>
      </c>
      <c r="F42">
        <v>47</v>
      </c>
      <c r="G42" t="s">
        <v>93</v>
      </c>
      <c r="H42" t="s">
        <v>94</v>
      </c>
      <c r="I42" t="s">
        <v>75</v>
      </c>
      <c r="J42" t="s">
        <v>106</v>
      </c>
      <c r="K42">
        <v>2</v>
      </c>
      <c r="L42">
        <v>899</v>
      </c>
      <c r="M42" s="3">
        <v>0.15</v>
      </c>
      <c r="N42">
        <v>1528.3</v>
      </c>
      <c r="O42">
        <v>1200</v>
      </c>
      <c r="P42">
        <v>328.3</v>
      </c>
      <c r="Q42" t="s">
        <v>27</v>
      </c>
      <c r="R42" t="s">
        <v>28</v>
      </c>
      <c r="S42">
        <v>3</v>
      </c>
    </row>
    <row r="43" spans="1:19">
      <c r="A43" t="s">
        <v>194</v>
      </c>
      <c r="B43" s="2">
        <v>45952</v>
      </c>
      <c r="C43" t="s">
        <v>195</v>
      </c>
      <c r="D43" t="s">
        <v>196</v>
      </c>
      <c r="E43" t="s">
        <v>22</v>
      </c>
      <c r="F43">
        <v>54</v>
      </c>
      <c r="G43" t="s">
        <v>73</v>
      </c>
      <c r="H43" t="s">
        <v>74</v>
      </c>
      <c r="I43" t="s">
        <v>43</v>
      </c>
      <c r="J43" t="s">
        <v>197</v>
      </c>
      <c r="K43">
        <v>1</v>
      </c>
      <c r="L43">
        <v>1799</v>
      </c>
      <c r="M43" s="3">
        <v>0.15</v>
      </c>
      <c r="N43">
        <v>1529.15</v>
      </c>
      <c r="O43">
        <v>1050</v>
      </c>
      <c r="P43">
        <v>479.15</v>
      </c>
      <c r="Q43" t="s">
        <v>50</v>
      </c>
      <c r="R43" t="s">
        <v>28</v>
      </c>
      <c r="S43">
        <v>4</v>
      </c>
    </row>
    <row r="44" spans="1:19">
      <c r="A44" t="s">
        <v>198</v>
      </c>
      <c r="B44" s="2">
        <v>45914</v>
      </c>
      <c r="C44" t="s">
        <v>199</v>
      </c>
      <c r="D44" t="s">
        <v>200</v>
      </c>
      <c r="E44" t="s">
        <v>22</v>
      </c>
      <c r="F44">
        <v>42</v>
      </c>
      <c r="G44" t="s">
        <v>33</v>
      </c>
      <c r="H44" t="s">
        <v>34</v>
      </c>
      <c r="I44" t="s">
        <v>75</v>
      </c>
      <c r="J44" t="s">
        <v>86</v>
      </c>
      <c r="K44">
        <v>3</v>
      </c>
      <c r="L44">
        <v>499</v>
      </c>
      <c r="M44" s="3">
        <v>0.15</v>
      </c>
      <c r="N44">
        <v>1272.45</v>
      </c>
      <c r="O44">
        <v>900</v>
      </c>
      <c r="P44">
        <v>372.45</v>
      </c>
      <c r="Q44" t="s">
        <v>66</v>
      </c>
      <c r="R44" t="s">
        <v>137</v>
      </c>
      <c r="S44">
        <v>2</v>
      </c>
    </row>
    <row r="45" spans="1:19">
      <c r="A45" t="s">
        <v>201</v>
      </c>
      <c r="B45" s="2">
        <v>46048</v>
      </c>
      <c r="C45" t="s">
        <v>202</v>
      </c>
      <c r="D45" t="s">
        <v>89</v>
      </c>
      <c r="E45" t="s">
        <v>22</v>
      </c>
      <c r="F45">
        <v>50</v>
      </c>
      <c r="G45" t="s">
        <v>93</v>
      </c>
      <c r="H45" t="s">
        <v>94</v>
      </c>
      <c r="I45" t="s">
        <v>35</v>
      </c>
      <c r="J45" t="s">
        <v>36</v>
      </c>
      <c r="K45">
        <v>1</v>
      </c>
      <c r="L45">
        <v>599</v>
      </c>
      <c r="M45" s="3">
        <v>0.05</v>
      </c>
      <c r="N45">
        <v>569.04999999999995</v>
      </c>
      <c r="O45">
        <v>320</v>
      </c>
      <c r="P45">
        <v>249.05</v>
      </c>
      <c r="Q45" t="s">
        <v>50</v>
      </c>
      <c r="R45" t="s">
        <v>28</v>
      </c>
      <c r="S45">
        <v>3</v>
      </c>
    </row>
    <row r="46" spans="1:19">
      <c r="A46" t="s">
        <v>203</v>
      </c>
      <c r="B46" s="2">
        <v>45666</v>
      </c>
      <c r="C46" t="s">
        <v>204</v>
      </c>
      <c r="D46" t="s">
        <v>205</v>
      </c>
      <c r="E46" t="s">
        <v>22</v>
      </c>
      <c r="F46">
        <v>45</v>
      </c>
      <c r="G46" t="s">
        <v>81</v>
      </c>
      <c r="H46" t="s">
        <v>82</v>
      </c>
      <c r="I46" t="s">
        <v>25</v>
      </c>
      <c r="J46" t="s">
        <v>156</v>
      </c>
      <c r="K46">
        <v>4</v>
      </c>
      <c r="L46">
        <v>1999</v>
      </c>
      <c r="M46" s="3">
        <v>0.1</v>
      </c>
      <c r="N46">
        <v>7196.4</v>
      </c>
      <c r="O46">
        <v>5200</v>
      </c>
      <c r="P46">
        <v>1996.4</v>
      </c>
      <c r="Q46" t="s">
        <v>50</v>
      </c>
      <c r="R46" t="s">
        <v>137</v>
      </c>
      <c r="S46">
        <v>1</v>
      </c>
    </row>
    <row r="47" spans="1:19">
      <c r="A47" t="s">
        <v>206</v>
      </c>
      <c r="B47" s="2">
        <v>46018</v>
      </c>
      <c r="C47" t="s">
        <v>207</v>
      </c>
      <c r="D47" t="s">
        <v>72</v>
      </c>
      <c r="E47" t="s">
        <v>22</v>
      </c>
      <c r="F47">
        <v>48</v>
      </c>
      <c r="G47" t="s">
        <v>180</v>
      </c>
      <c r="H47" t="s">
        <v>181</v>
      </c>
      <c r="I47" t="s">
        <v>43</v>
      </c>
      <c r="J47" t="s">
        <v>44</v>
      </c>
      <c r="K47">
        <v>2</v>
      </c>
      <c r="L47">
        <v>1599</v>
      </c>
      <c r="M47" s="3">
        <v>0.2</v>
      </c>
      <c r="N47">
        <v>2558.4</v>
      </c>
      <c r="O47">
        <v>1900</v>
      </c>
      <c r="P47">
        <v>658.4</v>
      </c>
      <c r="Q47" t="s">
        <v>27</v>
      </c>
      <c r="R47" t="s">
        <v>28</v>
      </c>
      <c r="S47">
        <v>5</v>
      </c>
    </row>
    <row r="48" spans="1:19">
      <c r="A48" t="s">
        <v>208</v>
      </c>
      <c r="B48" s="2">
        <v>45698</v>
      </c>
      <c r="C48" t="s">
        <v>209</v>
      </c>
      <c r="D48" t="s">
        <v>210</v>
      </c>
      <c r="E48" t="s">
        <v>32</v>
      </c>
      <c r="F48">
        <v>26</v>
      </c>
      <c r="G48" t="s">
        <v>23</v>
      </c>
      <c r="H48" t="s">
        <v>24</v>
      </c>
      <c r="I48" t="s">
        <v>117</v>
      </c>
      <c r="J48" t="s">
        <v>118</v>
      </c>
      <c r="K48">
        <v>2</v>
      </c>
      <c r="L48">
        <v>999</v>
      </c>
      <c r="M48" s="3">
        <v>0</v>
      </c>
      <c r="N48">
        <v>1998</v>
      </c>
      <c r="O48">
        <v>1100</v>
      </c>
      <c r="P48">
        <v>898</v>
      </c>
      <c r="Q48" t="s">
        <v>37</v>
      </c>
      <c r="R48" t="s">
        <v>137</v>
      </c>
      <c r="S48">
        <v>1</v>
      </c>
    </row>
    <row r="49" spans="1:19">
      <c r="A49" t="s">
        <v>211</v>
      </c>
      <c r="B49" s="2">
        <v>45960</v>
      </c>
      <c r="C49" t="s">
        <v>212</v>
      </c>
      <c r="D49" t="s">
        <v>213</v>
      </c>
      <c r="E49" t="s">
        <v>22</v>
      </c>
      <c r="F49">
        <v>33</v>
      </c>
      <c r="G49" t="s">
        <v>48</v>
      </c>
      <c r="H49" t="s">
        <v>42</v>
      </c>
      <c r="I49" t="s">
        <v>163</v>
      </c>
      <c r="J49" t="s">
        <v>214</v>
      </c>
      <c r="K49">
        <v>2</v>
      </c>
      <c r="L49">
        <v>1499</v>
      </c>
      <c r="M49" s="3">
        <v>0</v>
      </c>
      <c r="N49">
        <v>2998</v>
      </c>
      <c r="O49">
        <v>1800</v>
      </c>
      <c r="P49">
        <v>1198</v>
      </c>
      <c r="Q49" t="s">
        <v>37</v>
      </c>
      <c r="R49" t="s">
        <v>28</v>
      </c>
      <c r="S49">
        <v>2</v>
      </c>
    </row>
    <row r="50" spans="1:19">
      <c r="A50" t="s">
        <v>215</v>
      </c>
      <c r="B50" s="2">
        <v>46171</v>
      </c>
      <c r="C50" t="s">
        <v>216</v>
      </c>
      <c r="D50" t="s">
        <v>217</v>
      </c>
      <c r="E50" t="s">
        <v>22</v>
      </c>
      <c r="F50">
        <v>43</v>
      </c>
      <c r="G50" t="s">
        <v>115</v>
      </c>
      <c r="H50" t="s">
        <v>116</v>
      </c>
      <c r="I50" t="s">
        <v>25</v>
      </c>
      <c r="J50" t="s">
        <v>62</v>
      </c>
      <c r="K50">
        <v>3</v>
      </c>
      <c r="L50">
        <v>1299</v>
      </c>
      <c r="M50" s="3">
        <v>0.2</v>
      </c>
      <c r="N50">
        <v>3117.6</v>
      </c>
      <c r="O50">
        <v>2400</v>
      </c>
      <c r="P50">
        <v>717.6</v>
      </c>
      <c r="Q50" t="s">
        <v>37</v>
      </c>
      <c r="R50" t="s">
        <v>137</v>
      </c>
      <c r="S50">
        <v>3</v>
      </c>
    </row>
    <row r="51" spans="1:19">
      <c r="A51" t="s">
        <v>218</v>
      </c>
      <c r="B51" s="2">
        <v>46137</v>
      </c>
      <c r="C51" t="s">
        <v>148</v>
      </c>
      <c r="D51" t="s">
        <v>47</v>
      </c>
      <c r="E51" t="s">
        <v>22</v>
      </c>
      <c r="F51">
        <v>23</v>
      </c>
      <c r="G51" t="s">
        <v>93</v>
      </c>
      <c r="H51" t="s">
        <v>94</v>
      </c>
      <c r="I51" t="s">
        <v>43</v>
      </c>
      <c r="J51" t="s">
        <v>44</v>
      </c>
      <c r="K51">
        <v>3</v>
      </c>
      <c r="L51">
        <v>1599</v>
      </c>
      <c r="M51" s="3">
        <v>0</v>
      </c>
      <c r="N51">
        <v>4797</v>
      </c>
      <c r="O51">
        <v>2850</v>
      </c>
      <c r="P51">
        <v>1947</v>
      </c>
      <c r="Q51" t="s">
        <v>69</v>
      </c>
      <c r="R51" t="s">
        <v>28</v>
      </c>
      <c r="S51">
        <v>2</v>
      </c>
    </row>
    <row r="52" spans="1:19">
      <c r="A52" t="s">
        <v>219</v>
      </c>
      <c r="B52" s="2">
        <v>46062</v>
      </c>
      <c r="C52" t="s">
        <v>220</v>
      </c>
      <c r="D52" t="s">
        <v>221</v>
      </c>
      <c r="E52" t="s">
        <v>22</v>
      </c>
      <c r="F52">
        <v>27</v>
      </c>
      <c r="G52" t="s">
        <v>141</v>
      </c>
      <c r="H52" t="s">
        <v>142</v>
      </c>
      <c r="I52" t="s">
        <v>35</v>
      </c>
      <c r="J52" t="s">
        <v>126</v>
      </c>
      <c r="K52">
        <v>3</v>
      </c>
      <c r="L52">
        <v>1499</v>
      </c>
      <c r="M52" s="3">
        <v>0</v>
      </c>
      <c r="N52">
        <v>4497</v>
      </c>
      <c r="O52">
        <v>2550</v>
      </c>
      <c r="P52">
        <v>1947</v>
      </c>
      <c r="Q52" t="s">
        <v>69</v>
      </c>
      <c r="R52" t="s">
        <v>28</v>
      </c>
      <c r="S52">
        <v>1</v>
      </c>
    </row>
    <row r="53" spans="1:19">
      <c r="A53" t="s">
        <v>222</v>
      </c>
      <c r="B53" s="2">
        <v>46048</v>
      </c>
      <c r="C53" t="s">
        <v>161</v>
      </c>
      <c r="D53" t="s">
        <v>162</v>
      </c>
      <c r="E53" t="s">
        <v>22</v>
      </c>
      <c r="F53">
        <v>44</v>
      </c>
      <c r="G53" t="s">
        <v>146</v>
      </c>
      <c r="H53" t="s">
        <v>61</v>
      </c>
      <c r="I53" t="s">
        <v>163</v>
      </c>
      <c r="J53" t="s">
        <v>214</v>
      </c>
      <c r="K53">
        <v>3</v>
      </c>
      <c r="L53">
        <v>1499</v>
      </c>
      <c r="M53" s="3">
        <v>0.2</v>
      </c>
      <c r="N53">
        <v>3597.6</v>
      </c>
      <c r="O53">
        <v>2700</v>
      </c>
      <c r="P53">
        <v>897.6</v>
      </c>
      <c r="Q53" t="s">
        <v>37</v>
      </c>
      <c r="R53" t="s">
        <v>28</v>
      </c>
      <c r="S53">
        <v>2</v>
      </c>
    </row>
    <row r="54" spans="1:19">
      <c r="A54" t="s">
        <v>223</v>
      </c>
      <c r="B54" s="2">
        <v>45884</v>
      </c>
      <c r="C54" t="s">
        <v>224</v>
      </c>
      <c r="D54" t="s">
        <v>225</v>
      </c>
      <c r="E54" t="s">
        <v>32</v>
      </c>
      <c r="F54">
        <v>19</v>
      </c>
      <c r="G54" t="s">
        <v>33</v>
      </c>
      <c r="H54" t="s">
        <v>34</v>
      </c>
      <c r="I54" t="s">
        <v>25</v>
      </c>
      <c r="J54" t="s">
        <v>156</v>
      </c>
      <c r="K54">
        <v>3</v>
      </c>
      <c r="L54">
        <v>1999</v>
      </c>
      <c r="M54" s="3">
        <v>0.2</v>
      </c>
      <c r="N54">
        <v>4797.6000000000004</v>
      </c>
      <c r="O54">
        <v>3900</v>
      </c>
      <c r="P54">
        <v>897.6</v>
      </c>
      <c r="Q54" t="s">
        <v>69</v>
      </c>
      <c r="R54" t="s">
        <v>28</v>
      </c>
      <c r="S54">
        <v>4</v>
      </c>
    </row>
    <row r="55" spans="1:19">
      <c r="A55" t="s">
        <v>226</v>
      </c>
      <c r="B55" s="2">
        <v>45801</v>
      </c>
      <c r="C55" t="s">
        <v>227</v>
      </c>
      <c r="D55" t="s">
        <v>228</v>
      </c>
      <c r="E55" t="s">
        <v>22</v>
      </c>
      <c r="F55">
        <v>24</v>
      </c>
      <c r="G55" t="s">
        <v>93</v>
      </c>
      <c r="H55" t="s">
        <v>94</v>
      </c>
      <c r="I55" t="s">
        <v>75</v>
      </c>
      <c r="J55" t="s">
        <v>76</v>
      </c>
      <c r="K55">
        <v>4</v>
      </c>
      <c r="L55">
        <v>399</v>
      </c>
      <c r="M55" s="3">
        <v>0</v>
      </c>
      <c r="N55">
        <v>1596</v>
      </c>
      <c r="O55">
        <v>880</v>
      </c>
      <c r="P55">
        <v>716</v>
      </c>
      <c r="Q55" t="s">
        <v>69</v>
      </c>
      <c r="R55" t="s">
        <v>77</v>
      </c>
      <c r="S55">
        <v>3</v>
      </c>
    </row>
    <row r="56" spans="1:19">
      <c r="A56" t="s">
        <v>229</v>
      </c>
      <c r="B56" s="2">
        <v>46208</v>
      </c>
      <c r="C56" t="s">
        <v>230</v>
      </c>
      <c r="D56" t="s">
        <v>231</v>
      </c>
      <c r="E56" t="s">
        <v>32</v>
      </c>
      <c r="F56">
        <v>35</v>
      </c>
      <c r="G56" t="s">
        <v>55</v>
      </c>
      <c r="H56" t="s">
        <v>34</v>
      </c>
      <c r="I56" t="s">
        <v>25</v>
      </c>
      <c r="J56" t="s">
        <v>56</v>
      </c>
      <c r="K56">
        <v>1</v>
      </c>
      <c r="L56">
        <v>899</v>
      </c>
      <c r="M56" s="3">
        <v>0.05</v>
      </c>
      <c r="N56">
        <v>854.05</v>
      </c>
      <c r="O56">
        <v>550</v>
      </c>
      <c r="P56">
        <v>304.05</v>
      </c>
      <c r="Q56" t="s">
        <v>27</v>
      </c>
      <c r="R56" t="s">
        <v>28</v>
      </c>
      <c r="S56">
        <v>3</v>
      </c>
    </row>
    <row r="57" spans="1:19">
      <c r="A57" t="s">
        <v>232</v>
      </c>
      <c r="B57" s="2">
        <v>45759</v>
      </c>
      <c r="C57" t="s">
        <v>233</v>
      </c>
      <c r="D57" t="s">
        <v>213</v>
      </c>
      <c r="E57" t="s">
        <v>32</v>
      </c>
      <c r="F57">
        <v>18</v>
      </c>
      <c r="G57" t="s">
        <v>93</v>
      </c>
      <c r="H57" t="s">
        <v>94</v>
      </c>
      <c r="I57" t="s">
        <v>163</v>
      </c>
      <c r="J57" t="s">
        <v>234</v>
      </c>
      <c r="K57">
        <v>2</v>
      </c>
      <c r="L57">
        <v>999</v>
      </c>
      <c r="M57" s="3">
        <v>0.15</v>
      </c>
      <c r="N57">
        <v>1698.3</v>
      </c>
      <c r="O57">
        <v>1200</v>
      </c>
      <c r="P57">
        <v>498.3</v>
      </c>
      <c r="Q57" t="s">
        <v>66</v>
      </c>
      <c r="R57" t="s">
        <v>28</v>
      </c>
      <c r="S57">
        <v>3</v>
      </c>
    </row>
    <row r="58" spans="1:19">
      <c r="A58" t="s">
        <v>235</v>
      </c>
      <c r="B58" s="2">
        <v>46112</v>
      </c>
      <c r="C58" t="s">
        <v>236</v>
      </c>
      <c r="D58" t="s">
        <v>237</v>
      </c>
      <c r="E58" t="s">
        <v>32</v>
      </c>
      <c r="F58">
        <v>34</v>
      </c>
      <c r="G58" t="s">
        <v>180</v>
      </c>
      <c r="H58" t="s">
        <v>181</v>
      </c>
      <c r="I58" t="s">
        <v>117</v>
      </c>
      <c r="J58" t="s">
        <v>238</v>
      </c>
      <c r="K58">
        <v>3</v>
      </c>
      <c r="L58">
        <v>2499</v>
      </c>
      <c r="M58" s="3">
        <v>0.05</v>
      </c>
      <c r="N58">
        <v>7122.15</v>
      </c>
      <c r="O58">
        <v>4500</v>
      </c>
      <c r="P58">
        <v>2622.15</v>
      </c>
      <c r="Q58" t="s">
        <v>66</v>
      </c>
      <c r="R58" t="s">
        <v>51</v>
      </c>
      <c r="S58">
        <v>3</v>
      </c>
    </row>
    <row r="59" spans="1:19">
      <c r="A59" t="s">
        <v>239</v>
      </c>
      <c r="B59" s="2">
        <v>46025</v>
      </c>
      <c r="C59" t="s">
        <v>240</v>
      </c>
      <c r="D59" t="s">
        <v>241</v>
      </c>
      <c r="E59" t="s">
        <v>32</v>
      </c>
      <c r="F59">
        <v>51</v>
      </c>
      <c r="G59" t="s">
        <v>81</v>
      </c>
      <c r="H59" t="s">
        <v>82</v>
      </c>
      <c r="I59" t="s">
        <v>117</v>
      </c>
      <c r="J59" t="s">
        <v>118</v>
      </c>
      <c r="K59">
        <v>3</v>
      </c>
      <c r="L59">
        <v>999</v>
      </c>
      <c r="M59" s="3">
        <v>0.2</v>
      </c>
      <c r="N59">
        <v>2397.6</v>
      </c>
      <c r="O59">
        <v>1650</v>
      </c>
      <c r="P59">
        <v>747.6</v>
      </c>
      <c r="Q59" t="s">
        <v>69</v>
      </c>
      <c r="R59" t="s">
        <v>28</v>
      </c>
      <c r="S59">
        <v>2</v>
      </c>
    </row>
    <row r="60" spans="1:19">
      <c r="A60" t="s">
        <v>242</v>
      </c>
      <c r="B60" s="2">
        <v>45679</v>
      </c>
      <c r="C60" t="s">
        <v>243</v>
      </c>
      <c r="D60" t="s">
        <v>244</v>
      </c>
      <c r="E60" t="s">
        <v>22</v>
      </c>
      <c r="F60">
        <v>38</v>
      </c>
      <c r="G60" t="s">
        <v>23</v>
      </c>
      <c r="H60" t="s">
        <v>24</v>
      </c>
      <c r="I60" t="s">
        <v>35</v>
      </c>
      <c r="J60" t="s">
        <v>136</v>
      </c>
      <c r="K60">
        <v>1</v>
      </c>
      <c r="L60">
        <v>799</v>
      </c>
      <c r="M60" s="3">
        <v>0.05</v>
      </c>
      <c r="N60">
        <v>759.05</v>
      </c>
      <c r="O60">
        <v>450</v>
      </c>
      <c r="P60">
        <v>309.05</v>
      </c>
      <c r="Q60" t="s">
        <v>69</v>
      </c>
      <c r="R60" t="s">
        <v>137</v>
      </c>
      <c r="S60">
        <v>2</v>
      </c>
    </row>
    <row r="61" spans="1:19">
      <c r="A61" t="s">
        <v>245</v>
      </c>
      <c r="B61" s="2">
        <v>46225</v>
      </c>
      <c r="C61" t="s">
        <v>169</v>
      </c>
      <c r="D61" t="s">
        <v>170</v>
      </c>
      <c r="E61" t="s">
        <v>32</v>
      </c>
      <c r="F61">
        <v>37</v>
      </c>
      <c r="G61" t="s">
        <v>60</v>
      </c>
      <c r="H61" t="s">
        <v>61</v>
      </c>
      <c r="I61" t="s">
        <v>75</v>
      </c>
      <c r="J61" t="s">
        <v>86</v>
      </c>
      <c r="K61">
        <v>2</v>
      </c>
      <c r="L61">
        <v>499</v>
      </c>
      <c r="M61" s="3">
        <v>0</v>
      </c>
      <c r="N61">
        <v>998</v>
      </c>
      <c r="O61">
        <v>600</v>
      </c>
      <c r="P61">
        <v>398</v>
      </c>
      <c r="Q61" t="s">
        <v>27</v>
      </c>
      <c r="R61" t="s">
        <v>28</v>
      </c>
      <c r="S61">
        <v>2</v>
      </c>
    </row>
    <row r="62" spans="1:19">
      <c r="A62" t="s">
        <v>246</v>
      </c>
      <c r="B62" s="2">
        <v>45806</v>
      </c>
      <c r="C62" t="s">
        <v>247</v>
      </c>
      <c r="D62" t="s">
        <v>248</v>
      </c>
      <c r="E62" t="s">
        <v>32</v>
      </c>
      <c r="F62">
        <v>35</v>
      </c>
      <c r="G62" t="s">
        <v>33</v>
      </c>
      <c r="H62" t="s">
        <v>34</v>
      </c>
      <c r="I62" t="s">
        <v>25</v>
      </c>
      <c r="J62" t="s">
        <v>62</v>
      </c>
      <c r="K62">
        <v>1</v>
      </c>
      <c r="L62">
        <v>1299</v>
      </c>
      <c r="M62" s="3">
        <v>0.1</v>
      </c>
      <c r="N62">
        <v>1169.0999999999999</v>
      </c>
      <c r="O62">
        <v>800</v>
      </c>
      <c r="P62">
        <v>369.1</v>
      </c>
      <c r="Q62" t="s">
        <v>27</v>
      </c>
      <c r="R62" t="s">
        <v>28</v>
      </c>
      <c r="S62">
        <v>2</v>
      </c>
    </row>
    <row r="63" spans="1:19">
      <c r="A63" t="s">
        <v>249</v>
      </c>
      <c r="B63" s="2">
        <v>45673</v>
      </c>
      <c r="C63" t="s">
        <v>250</v>
      </c>
      <c r="D63" t="s">
        <v>241</v>
      </c>
      <c r="E63" t="s">
        <v>32</v>
      </c>
      <c r="F63">
        <v>18</v>
      </c>
      <c r="G63" t="s">
        <v>251</v>
      </c>
      <c r="H63" t="s">
        <v>251</v>
      </c>
      <c r="I63" t="s">
        <v>117</v>
      </c>
      <c r="J63" t="s">
        <v>118</v>
      </c>
      <c r="K63">
        <v>1</v>
      </c>
      <c r="L63">
        <v>999</v>
      </c>
      <c r="M63" s="3">
        <v>0.05</v>
      </c>
      <c r="N63">
        <v>949.05</v>
      </c>
      <c r="O63">
        <v>550</v>
      </c>
      <c r="P63">
        <v>399.05</v>
      </c>
      <c r="Q63" t="s">
        <v>37</v>
      </c>
      <c r="R63" t="s">
        <v>137</v>
      </c>
      <c r="S63">
        <v>2</v>
      </c>
    </row>
    <row r="64" spans="1:19">
      <c r="A64" t="s">
        <v>252</v>
      </c>
      <c r="B64" s="2">
        <v>45711</v>
      </c>
      <c r="C64" t="s">
        <v>110</v>
      </c>
      <c r="D64" t="s">
        <v>111</v>
      </c>
      <c r="E64" t="s">
        <v>22</v>
      </c>
      <c r="F64">
        <v>47</v>
      </c>
      <c r="G64" t="s">
        <v>48</v>
      </c>
      <c r="H64" t="s">
        <v>42</v>
      </c>
      <c r="I64" t="s">
        <v>25</v>
      </c>
      <c r="J64" t="s">
        <v>156</v>
      </c>
      <c r="K64">
        <v>2</v>
      </c>
      <c r="L64">
        <v>1999</v>
      </c>
      <c r="M64" s="3">
        <v>0.1</v>
      </c>
      <c r="N64">
        <v>3598.2</v>
      </c>
      <c r="O64">
        <v>2600</v>
      </c>
      <c r="P64">
        <v>998.2</v>
      </c>
      <c r="Q64" t="s">
        <v>27</v>
      </c>
      <c r="R64" t="s">
        <v>28</v>
      </c>
      <c r="S64">
        <v>5</v>
      </c>
    </row>
    <row r="65" spans="1:19">
      <c r="A65" t="s">
        <v>253</v>
      </c>
      <c r="B65" s="2">
        <v>46117</v>
      </c>
      <c r="C65" t="s">
        <v>254</v>
      </c>
      <c r="D65" t="s">
        <v>255</v>
      </c>
      <c r="E65" t="s">
        <v>22</v>
      </c>
      <c r="F65">
        <v>50</v>
      </c>
      <c r="G65" t="s">
        <v>141</v>
      </c>
      <c r="H65" t="s">
        <v>142</v>
      </c>
      <c r="I65" t="s">
        <v>117</v>
      </c>
      <c r="J65" t="s">
        <v>152</v>
      </c>
      <c r="K65">
        <v>1</v>
      </c>
      <c r="L65">
        <v>899</v>
      </c>
      <c r="M65" s="3">
        <v>0.15</v>
      </c>
      <c r="N65">
        <v>764.15</v>
      </c>
      <c r="O65">
        <v>500</v>
      </c>
      <c r="P65">
        <v>264.14999999999998</v>
      </c>
      <c r="Q65" t="s">
        <v>37</v>
      </c>
      <c r="R65" t="s">
        <v>28</v>
      </c>
      <c r="S65">
        <v>1</v>
      </c>
    </row>
    <row r="66" spans="1:19">
      <c r="A66" t="s">
        <v>256</v>
      </c>
      <c r="B66" s="2">
        <v>45702</v>
      </c>
      <c r="C66" t="s">
        <v>257</v>
      </c>
      <c r="D66" t="s">
        <v>125</v>
      </c>
      <c r="E66" t="s">
        <v>32</v>
      </c>
      <c r="F66">
        <v>52</v>
      </c>
      <c r="G66" t="s">
        <v>33</v>
      </c>
      <c r="H66" t="s">
        <v>34</v>
      </c>
      <c r="I66" t="s">
        <v>35</v>
      </c>
      <c r="J66" t="s">
        <v>108</v>
      </c>
      <c r="K66">
        <v>2</v>
      </c>
      <c r="L66">
        <v>699</v>
      </c>
      <c r="M66" s="3">
        <v>0.2</v>
      </c>
      <c r="N66">
        <v>1118.4000000000001</v>
      </c>
      <c r="O66">
        <v>760</v>
      </c>
      <c r="P66">
        <v>358.4</v>
      </c>
      <c r="Q66" t="s">
        <v>50</v>
      </c>
      <c r="R66" t="s">
        <v>28</v>
      </c>
      <c r="S66">
        <v>1</v>
      </c>
    </row>
    <row r="67" spans="1:19">
      <c r="A67" t="s">
        <v>258</v>
      </c>
      <c r="B67" s="2">
        <v>45768</v>
      </c>
      <c r="C67" t="s">
        <v>259</v>
      </c>
      <c r="D67" t="s">
        <v>125</v>
      </c>
      <c r="E67" t="s">
        <v>22</v>
      </c>
      <c r="F67">
        <v>28</v>
      </c>
      <c r="G67" t="s">
        <v>23</v>
      </c>
      <c r="H67" t="s">
        <v>24</v>
      </c>
      <c r="I67" t="s">
        <v>35</v>
      </c>
      <c r="J67" t="s">
        <v>36</v>
      </c>
      <c r="K67">
        <v>4</v>
      </c>
      <c r="L67">
        <v>599</v>
      </c>
      <c r="M67" s="3">
        <v>0.15</v>
      </c>
      <c r="N67">
        <v>2036.6</v>
      </c>
      <c r="O67">
        <v>1280</v>
      </c>
      <c r="P67">
        <v>756.6</v>
      </c>
      <c r="Q67" t="s">
        <v>66</v>
      </c>
      <c r="R67" t="s">
        <v>28</v>
      </c>
      <c r="S67">
        <v>4</v>
      </c>
    </row>
    <row r="68" spans="1:19">
      <c r="A68" t="s">
        <v>260</v>
      </c>
      <c r="B68" s="2">
        <v>45809</v>
      </c>
      <c r="C68" t="s">
        <v>261</v>
      </c>
      <c r="D68" t="s">
        <v>262</v>
      </c>
      <c r="E68" t="s">
        <v>22</v>
      </c>
      <c r="F68">
        <v>54</v>
      </c>
      <c r="G68" t="s">
        <v>60</v>
      </c>
      <c r="H68" t="s">
        <v>61</v>
      </c>
      <c r="I68" t="s">
        <v>25</v>
      </c>
      <c r="J68" t="s">
        <v>26</v>
      </c>
      <c r="K68">
        <v>3</v>
      </c>
      <c r="L68">
        <v>2499</v>
      </c>
      <c r="M68" s="3">
        <v>0.2</v>
      </c>
      <c r="N68">
        <v>5997.6</v>
      </c>
      <c r="O68">
        <v>4800</v>
      </c>
      <c r="P68">
        <v>1197.5999999999999</v>
      </c>
      <c r="Q68" t="s">
        <v>69</v>
      </c>
      <c r="R68" t="s">
        <v>28</v>
      </c>
      <c r="S68">
        <v>5</v>
      </c>
    </row>
    <row r="69" spans="1:19">
      <c r="A69" t="s">
        <v>263</v>
      </c>
      <c r="B69" s="2">
        <v>46201</v>
      </c>
      <c r="C69" t="s">
        <v>264</v>
      </c>
      <c r="D69" t="s">
        <v>265</v>
      </c>
      <c r="E69" t="s">
        <v>22</v>
      </c>
      <c r="F69">
        <v>48</v>
      </c>
      <c r="G69" t="s">
        <v>23</v>
      </c>
      <c r="H69" t="s">
        <v>24</v>
      </c>
      <c r="I69" t="s">
        <v>35</v>
      </c>
      <c r="J69" t="s">
        <v>126</v>
      </c>
      <c r="K69">
        <v>3</v>
      </c>
      <c r="L69">
        <v>1499</v>
      </c>
      <c r="M69" s="3">
        <v>0.15</v>
      </c>
      <c r="N69">
        <v>3822.45</v>
      </c>
      <c r="O69">
        <v>2550</v>
      </c>
      <c r="P69">
        <v>1272.45</v>
      </c>
      <c r="Q69" t="s">
        <v>37</v>
      </c>
      <c r="R69" t="s">
        <v>28</v>
      </c>
      <c r="S69">
        <v>5</v>
      </c>
    </row>
    <row r="70" spans="1:19">
      <c r="A70" t="s">
        <v>266</v>
      </c>
      <c r="B70" s="2">
        <v>45878</v>
      </c>
      <c r="C70" t="s">
        <v>267</v>
      </c>
      <c r="D70" t="s">
        <v>268</v>
      </c>
      <c r="E70" t="s">
        <v>22</v>
      </c>
      <c r="F70">
        <v>35</v>
      </c>
      <c r="G70" t="s">
        <v>141</v>
      </c>
      <c r="H70" t="s">
        <v>142</v>
      </c>
      <c r="I70" t="s">
        <v>25</v>
      </c>
      <c r="J70" t="s">
        <v>56</v>
      </c>
      <c r="K70">
        <v>1</v>
      </c>
      <c r="L70">
        <v>899</v>
      </c>
      <c r="M70" s="3">
        <v>0.2</v>
      </c>
      <c r="N70">
        <v>719.2</v>
      </c>
      <c r="O70">
        <v>550</v>
      </c>
      <c r="P70">
        <v>169.2</v>
      </c>
      <c r="Q70" t="s">
        <v>66</v>
      </c>
      <c r="R70" t="s">
        <v>28</v>
      </c>
      <c r="S70">
        <v>2</v>
      </c>
    </row>
    <row r="71" spans="1:19">
      <c r="A71" t="s">
        <v>269</v>
      </c>
      <c r="B71" s="2">
        <v>46083</v>
      </c>
      <c r="C71" t="s">
        <v>270</v>
      </c>
      <c r="D71" t="s">
        <v>271</v>
      </c>
      <c r="E71" t="s">
        <v>22</v>
      </c>
      <c r="F71">
        <v>51</v>
      </c>
      <c r="G71" t="s">
        <v>48</v>
      </c>
      <c r="H71" t="s">
        <v>42</v>
      </c>
      <c r="I71" t="s">
        <v>163</v>
      </c>
      <c r="J71" t="s">
        <v>164</v>
      </c>
      <c r="K71">
        <v>4</v>
      </c>
      <c r="L71">
        <v>3499</v>
      </c>
      <c r="M71" s="3">
        <v>0.15</v>
      </c>
      <c r="N71">
        <v>11896.6</v>
      </c>
      <c r="O71">
        <v>8800</v>
      </c>
      <c r="P71">
        <v>3096.6</v>
      </c>
      <c r="Q71" t="s">
        <v>69</v>
      </c>
      <c r="R71" t="s">
        <v>28</v>
      </c>
      <c r="S71">
        <v>3</v>
      </c>
    </row>
    <row r="72" spans="1:19">
      <c r="A72" t="s">
        <v>272</v>
      </c>
      <c r="B72" s="2">
        <v>45726</v>
      </c>
      <c r="C72" t="s">
        <v>273</v>
      </c>
      <c r="D72" t="s">
        <v>274</v>
      </c>
      <c r="E72" t="s">
        <v>22</v>
      </c>
      <c r="F72">
        <v>41</v>
      </c>
      <c r="G72" t="s">
        <v>105</v>
      </c>
      <c r="H72" t="s">
        <v>105</v>
      </c>
      <c r="I72" t="s">
        <v>163</v>
      </c>
      <c r="J72" t="s">
        <v>214</v>
      </c>
      <c r="K72">
        <v>2</v>
      </c>
      <c r="L72">
        <v>1499</v>
      </c>
      <c r="M72" s="3">
        <v>0.15</v>
      </c>
      <c r="N72">
        <v>2548.3000000000002</v>
      </c>
      <c r="O72">
        <v>1800</v>
      </c>
      <c r="P72">
        <v>748.3</v>
      </c>
      <c r="Q72" t="s">
        <v>69</v>
      </c>
      <c r="R72" t="s">
        <v>137</v>
      </c>
      <c r="S72">
        <v>1</v>
      </c>
    </row>
    <row r="73" spans="1:19">
      <c r="A73" t="s">
        <v>275</v>
      </c>
      <c r="B73" s="2">
        <v>46227</v>
      </c>
      <c r="C73" t="s">
        <v>267</v>
      </c>
      <c r="D73" t="s">
        <v>268</v>
      </c>
      <c r="E73" t="s">
        <v>22</v>
      </c>
      <c r="F73">
        <v>35</v>
      </c>
      <c r="G73" t="s">
        <v>141</v>
      </c>
      <c r="H73" t="s">
        <v>142</v>
      </c>
      <c r="I73" t="s">
        <v>25</v>
      </c>
      <c r="J73" t="s">
        <v>56</v>
      </c>
      <c r="K73">
        <v>3</v>
      </c>
      <c r="L73">
        <v>899</v>
      </c>
      <c r="M73" s="3">
        <v>0.05</v>
      </c>
      <c r="N73">
        <v>2562.15</v>
      </c>
      <c r="O73">
        <v>1650</v>
      </c>
      <c r="P73">
        <v>912.15</v>
      </c>
      <c r="Q73" t="s">
        <v>69</v>
      </c>
      <c r="R73" t="s">
        <v>28</v>
      </c>
      <c r="S73">
        <v>5</v>
      </c>
    </row>
    <row r="74" spans="1:19">
      <c r="A74" t="s">
        <v>276</v>
      </c>
      <c r="B74" s="2">
        <v>46020</v>
      </c>
      <c r="C74" t="s">
        <v>277</v>
      </c>
      <c r="D74" t="s">
        <v>278</v>
      </c>
      <c r="E74" t="s">
        <v>32</v>
      </c>
      <c r="F74">
        <v>33</v>
      </c>
      <c r="G74" t="s">
        <v>105</v>
      </c>
      <c r="H74" t="s">
        <v>105</v>
      </c>
      <c r="I74" t="s">
        <v>163</v>
      </c>
      <c r="J74" t="s">
        <v>164</v>
      </c>
      <c r="K74">
        <v>1</v>
      </c>
      <c r="L74">
        <v>3499</v>
      </c>
      <c r="M74" s="3">
        <v>0.15</v>
      </c>
      <c r="N74">
        <v>2974.15</v>
      </c>
      <c r="O74">
        <v>2200</v>
      </c>
      <c r="P74">
        <v>774.15</v>
      </c>
      <c r="Q74" t="s">
        <v>66</v>
      </c>
      <c r="R74" t="s">
        <v>137</v>
      </c>
      <c r="S74">
        <v>1</v>
      </c>
    </row>
    <row r="75" spans="1:19">
      <c r="A75" t="s">
        <v>279</v>
      </c>
      <c r="B75" s="2">
        <v>45764</v>
      </c>
      <c r="C75" t="s">
        <v>134</v>
      </c>
      <c r="D75" t="s">
        <v>135</v>
      </c>
      <c r="E75" t="s">
        <v>32</v>
      </c>
      <c r="F75">
        <v>53</v>
      </c>
      <c r="G75" t="s">
        <v>23</v>
      </c>
      <c r="H75" t="s">
        <v>24</v>
      </c>
      <c r="I75" t="s">
        <v>75</v>
      </c>
      <c r="J75" t="s">
        <v>106</v>
      </c>
      <c r="K75">
        <v>3</v>
      </c>
      <c r="L75">
        <v>899</v>
      </c>
      <c r="M75" s="3">
        <v>0.1</v>
      </c>
      <c r="N75">
        <v>2427.3000000000002</v>
      </c>
      <c r="O75">
        <v>1800</v>
      </c>
      <c r="P75">
        <v>627.29999999999995</v>
      </c>
      <c r="Q75" t="s">
        <v>50</v>
      </c>
      <c r="R75" t="s">
        <v>28</v>
      </c>
      <c r="S75">
        <v>2</v>
      </c>
    </row>
    <row r="76" spans="1:19">
      <c r="A76" t="s">
        <v>280</v>
      </c>
      <c r="B76" s="2">
        <v>46227</v>
      </c>
      <c r="C76" t="s">
        <v>148</v>
      </c>
      <c r="D76" t="s">
        <v>47</v>
      </c>
      <c r="E76" t="s">
        <v>22</v>
      </c>
      <c r="F76">
        <v>23</v>
      </c>
      <c r="G76" t="s">
        <v>93</v>
      </c>
      <c r="H76" t="s">
        <v>94</v>
      </c>
      <c r="I76" t="s">
        <v>43</v>
      </c>
      <c r="J76" t="s">
        <v>281</v>
      </c>
      <c r="K76">
        <v>1</v>
      </c>
      <c r="L76">
        <v>2999</v>
      </c>
      <c r="M76" s="3">
        <v>0.1</v>
      </c>
      <c r="N76">
        <v>2699.1</v>
      </c>
      <c r="O76">
        <v>1800</v>
      </c>
      <c r="P76">
        <v>899.1</v>
      </c>
      <c r="Q76" t="s">
        <v>37</v>
      </c>
      <c r="R76" t="s">
        <v>28</v>
      </c>
      <c r="S76">
        <v>3</v>
      </c>
    </row>
    <row r="77" spans="1:19">
      <c r="A77" t="s">
        <v>282</v>
      </c>
      <c r="B77" s="2">
        <v>46228</v>
      </c>
      <c r="C77" t="s">
        <v>283</v>
      </c>
      <c r="D77" t="s">
        <v>284</v>
      </c>
      <c r="E77" t="s">
        <v>32</v>
      </c>
      <c r="F77">
        <v>39</v>
      </c>
      <c r="G77" t="s">
        <v>55</v>
      </c>
      <c r="H77" t="s">
        <v>34</v>
      </c>
      <c r="I77" t="s">
        <v>43</v>
      </c>
      <c r="J77" t="s">
        <v>281</v>
      </c>
      <c r="K77">
        <v>4</v>
      </c>
      <c r="L77">
        <v>2999</v>
      </c>
      <c r="M77" s="3">
        <v>0.2</v>
      </c>
      <c r="N77">
        <v>9596.7999999999993</v>
      </c>
      <c r="O77">
        <v>7200</v>
      </c>
      <c r="P77">
        <v>2396.8000000000002</v>
      </c>
      <c r="Q77" t="s">
        <v>69</v>
      </c>
      <c r="R77" t="s">
        <v>28</v>
      </c>
      <c r="S77">
        <v>3</v>
      </c>
    </row>
    <row r="78" spans="1:19">
      <c r="A78" t="s">
        <v>285</v>
      </c>
      <c r="B78" s="2">
        <v>46005</v>
      </c>
      <c r="C78" t="s">
        <v>186</v>
      </c>
      <c r="D78" t="s">
        <v>187</v>
      </c>
      <c r="E78" t="s">
        <v>22</v>
      </c>
      <c r="F78">
        <v>42</v>
      </c>
      <c r="G78" t="s">
        <v>60</v>
      </c>
      <c r="H78" t="s">
        <v>61</v>
      </c>
      <c r="I78" t="s">
        <v>43</v>
      </c>
      <c r="J78" t="s">
        <v>95</v>
      </c>
      <c r="K78">
        <v>3</v>
      </c>
      <c r="L78">
        <v>2499</v>
      </c>
      <c r="M78" s="3">
        <v>0.1</v>
      </c>
      <c r="N78">
        <v>6747.3</v>
      </c>
      <c r="O78">
        <v>4500</v>
      </c>
      <c r="P78">
        <v>2247.3000000000002</v>
      </c>
      <c r="Q78" t="s">
        <v>37</v>
      </c>
      <c r="R78" t="s">
        <v>28</v>
      </c>
      <c r="S78">
        <v>2</v>
      </c>
    </row>
    <row r="79" spans="1:19">
      <c r="A79" t="s">
        <v>286</v>
      </c>
      <c r="B79" s="2">
        <v>45803</v>
      </c>
      <c r="C79" t="s">
        <v>287</v>
      </c>
      <c r="D79" t="s">
        <v>190</v>
      </c>
      <c r="E79" t="s">
        <v>32</v>
      </c>
      <c r="F79">
        <v>39</v>
      </c>
      <c r="G79" t="s">
        <v>81</v>
      </c>
      <c r="H79" t="s">
        <v>82</v>
      </c>
      <c r="I79" t="s">
        <v>117</v>
      </c>
      <c r="J79" t="s">
        <v>118</v>
      </c>
      <c r="K79">
        <v>4</v>
      </c>
      <c r="L79">
        <v>999</v>
      </c>
      <c r="M79" s="3">
        <v>0</v>
      </c>
      <c r="N79">
        <v>3996</v>
      </c>
      <c r="O79">
        <v>2200</v>
      </c>
      <c r="P79">
        <v>1796</v>
      </c>
      <c r="Q79" t="s">
        <v>69</v>
      </c>
      <c r="R79" t="s">
        <v>28</v>
      </c>
      <c r="S79">
        <v>5</v>
      </c>
    </row>
    <row r="80" spans="1:19">
      <c r="A80" t="s">
        <v>288</v>
      </c>
      <c r="B80" s="2">
        <v>46007</v>
      </c>
      <c r="C80" t="s">
        <v>289</v>
      </c>
      <c r="D80" t="s">
        <v>121</v>
      </c>
      <c r="E80" t="s">
        <v>22</v>
      </c>
      <c r="F80">
        <v>38</v>
      </c>
      <c r="G80" t="s">
        <v>73</v>
      </c>
      <c r="H80" t="s">
        <v>74</v>
      </c>
      <c r="I80" t="s">
        <v>163</v>
      </c>
      <c r="J80" t="s">
        <v>290</v>
      </c>
      <c r="K80">
        <v>4</v>
      </c>
      <c r="L80">
        <v>1999</v>
      </c>
      <c r="M80" s="3">
        <v>0.15</v>
      </c>
      <c r="N80">
        <v>6796.6</v>
      </c>
      <c r="O80">
        <v>4800</v>
      </c>
      <c r="P80">
        <v>1996.6</v>
      </c>
      <c r="Q80" t="s">
        <v>27</v>
      </c>
      <c r="R80" t="s">
        <v>28</v>
      </c>
      <c r="S80">
        <v>3</v>
      </c>
    </row>
    <row r="81" spans="1:19">
      <c r="A81" t="s">
        <v>291</v>
      </c>
      <c r="B81" s="2">
        <v>45817</v>
      </c>
      <c r="C81" t="s">
        <v>292</v>
      </c>
      <c r="D81" t="s">
        <v>293</v>
      </c>
      <c r="E81" t="s">
        <v>32</v>
      </c>
      <c r="F81">
        <v>29</v>
      </c>
      <c r="G81" t="s">
        <v>180</v>
      </c>
      <c r="H81" t="s">
        <v>181</v>
      </c>
      <c r="I81" t="s">
        <v>75</v>
      </c>
      <c r="J81" t="s">
        <v>106</v>
      </c>
      <c r="K81">
        <v>1</v>
      </c>
      <c r="L81">
        <v>899</v>
      </c>
      <c r="M81" s="3">
        <v>0</v>
      </c>
      <c r="N81">
        <v>899</v>
      </c>
      <c r="O81">
        <v>600</v>
      </c>
      <c r="P81">
        <v>299</v>
      </c>
      <c r="Q81" t="s">
        <v>27</v>
      </c>
      <c r="R81" t="s">
        <v>28</v>
      </c>
      <c r="S81">
        <v>1</v>
      </c>
    </row>
    <row r="82" spans="1:19">
      <c r="A82" t="s">
        <v>294</v>
      </c>
      <c r="B82" s="2">
        <v>46155</v>
      </c>
      <c r="C82" t="s">
        <v>295</v>
      </c>
      <c r="D82" t="s">
        <v>296</v>
      </c>
      <c r="E82" t="s">
        <v>22</v>
      </c>
      <c r="F82">
        <v>33</v>
      </c>
      <c r="G82" t="s">
        <v>41</v>
      </c>
      <c r="H82" t="s">
        <v>42</v>
      </c>
      <c r="I82" t="s">
        <v>43</v>
      </c>
      <c r="J82" t="s">
        <v>197</v>
      </c>
      <c r="K82">
        <v>4</v>
      </c>
      <c r="L82">
        <v>1799</v>
      </c>
      <c r="M82" s="3">
        <v>0.15</v>
      </c>
      <c r="N82">
        <v>6116.6</v>
      </c>
      <c r="O82">
        <v>4200</v>
      </c>
      <c r="P82">
        <v>1916.6</v>
      </c>
      <c r="Q82" t="s">
        <v>50</v>
      </c>
      <c r="R82" t="s">
        <v>28</v>
      </c>
      <c r="S82">
        <v>3</v>
      </c>
    </row>
    <row r="83" spans="1:19">
      <c r="A83" t="s">
        <v>297</v>
      </c>
      <c r="B83" s="2">
        <v>46098</v>
      </c>
      <c r="C83" t="s">
        <v>289</v>
      </c>
      <c r="D83" t="s">
        <v>121</v>
      </c>
      <c r="E83" t="s">
        <v>22</v>
      </c>
      <c r="F83">
        <v>38</v>
      </c>
      <c r="G83" t="s">
        <v>73</v>
      </c>
      <c r="H83" t="s">
        <v>74</v>
      </c>
      <c r="I83" t="s">
        <v>35</v>
      </c>
      <c r="J83" t="s">
        <v>108</v>
      </c>
      <c r="K83">
        <v>1</v>
      </c>
      <c r="L83">
        <v>699</v>
      </c>
      <c r="M83" s="3">
        <v>0.1</v>
      </c>
      <c r="N83">
        <v>629.1</v>
      </c>
      <c r="O83">
        <v>380</v>
      </c>
      <c r="P83">
        <v>249.1</v>
      </c>
      <c r="Q83" t="s">
        <v>69</v>
      </c>
      <c r="R83" t="s">
        <v>28</v>
      </c>
      <c r="S83">
        <v>5</v>
      </c>
    </row>
    <row r="84" spans="1:19">
      <c r="A84" t="s">
        <v>298</v>
      </c>
      <c r="B84" s="2">
        <v>45883</v>
      </c>
      <c r="C84" t="s">
        <v>178</v>
      </c>
      <c r="D84" t="s">
        <v>179</v>
      </c>
      <c r="E84" t="s">
        <v>32</v>
      </c>
      <c r="F84">
        <v>29</v>
      </c>
      <c r="G84" t="s">
        <v>180</v>
      </c>
      <c r="H84" t="s">
        <v>181</v>
      </c>
      <c r="I84" t="s">
        <v>35</v>
      </c>
      <c r="J84" t="s">
        <v>108</v>
      </c>
      <c r="K84">
        <v>3</v>
      </c>
      <c r="L84">
        <v>699</v>
      </c>
      <c r="M84" s="3">
        <v>0</v>
      </c>
      <c r="N84">
        <v>2097</v>
      </c>
      <c r="O84">
        <v>1140</v>
      </c>
      <c r="P84">
        <v>957</v>
      </c>
      <c r="Q84" t="s">
        <v>66</v>
      </c>
      <c r="R84" t="s">
        <v>51</v>
      </c>
      <c r="S84">
        <v>1</v>
      </c>
    </row>
    <row r="85" spans="1:19">
      <c r="A85" t="s">
        <v>299</v>
      </c>
      <c r="B85" s="2">
        <v>45798</v>
      </c>
      <c r="C85" t="s">
        <v>300</v>
      </c>
      <c r="D85" t="s">
        <v>301</v>
      </c>
      <c r="E85" t="s">
        <v>22</v>
      </c>
      <c r="F85">
        <v>24</v>
      </c>
      <c r="G85" t="s">
        <v>48</v>
      </c>
      <c r="H85" t="s">
        <v>42</v>
      </c>
      <c r="I85" t="s">
        <v>43</v>
      </c>
      <c r="J85" t="s">
        <v>49</v>
      </c>
      <c r="K85">
        <v>3</v>
      </c>
      <c r="L85">
        <v>799</v>
      </c>
      <c r="M85" s="3">
        <v>0.05</v>
      </c>
      <c r="N85">
        <v>2277.15</v>
      </c>
      <c r="O85">
        <v>1350</v>
      </c>
      <c r="P85">
        <v>927.15</v>
      </c>
      <c r="Q85" t="s">
        <v>37</v>
      </c>
      <c r="R85" t="s">
        <v>28</v>
      </c>
      <c r="S85">
        <v>1</v>
      </c>
    </row>
    <row r="86" spans="1:19">
      <c r="A86" t="s">
        <v>302</v>
      </c>
      <c r="B86" s="2">
        <v>45790</v>
      </c>
      <c r="C86" t="s">
        <v>300</v>
      </c>
      <c r="D86" t="s">
        <v>301</v>
      </c>
      <c r="E86" t="s">
        <v>22</v>
      </c>
      <c r="F86">
        <v>24</v>
      </c>
      <c r="G86" t="s">
        <v>48</v>
      </c>
      <c r="H86" t="s">
        <v>42</v>
      </c>
      <c r="I86" t="s">
        <v>35</v>
      </c>
      <c r="J86" t="s">
        <v>36</v>
      </c>
      <c r="K86">
        <v>4</v>
      </c>
      <c r="L86">
        <v>599</v>
      </c>
      <c r="M86" s="3">
        <v>0.05</v>
      </c>
      <c r="N86">
        <v>2276.1999999999998</v>
      </c>
      <c r="O86">
        <v>1280</v>
      </c>
      <c r="P86">
        <v>996.2</v>
      </c>
      <c r="Q86" t="s">
        <v>66</v>
      </c>
      <c r="R86" t="s">
        <v>28</v>
      </c>
      <c r="S86">
        <v>2</v>
      </c>
    </row>
    <row r="87" spans="1:19">
      <c r="A87" t="s">
        <v>303</v>
      </c>
      <c r="B87" s="2">
        <v>46064</v>
      </c>
      <c r="C87" t="s">
        <v>304</v>
      </c>
      <c r="D87" t="s">
        <v>305</v>
      </c>
      <c r="E87" t="s">
        <v>32</v>
      </c>
      <c r="F87">
        <v>32</v>
      </c>
      <c r="G87" t="s">
        <v>146</v>
      </c>
      <c r="H87" t="s">
        <v>61</v>
      </c>
      <c r="I87" t="s">
        <v>35</v>
      </c>
      <c r="J87" t="s">
        <v>126</v>
      </c>
      <c r="K87">
        <v>3</v>
      </c>
      <c r="L87">
        <v>1499</v>
      </c>
      <c r="M87" s="3">
        <v>0</v>
      </c>
      <c r="N87">
        <v>4497</v>
      </c>
      <c r="O87">
        <v>2550</v>
      </c>
      <c r="P87">
        <v>1947</v>
      </c>
      <c r="Q87" t="s">
        <v>69</v>
      </c>
      <c r="R87" t="s">
        <v>28</v>
      </c>
      <c r="S87">
        <v>4</v>
      </c>
    </row>
    <row r="88" spans="1:19">
      <c r="A88" t="s">
        <v>306</v>
      </c>
      <c r="B88" s="2">
        <v>46072</v>
      </c>
      <c r="C88" t="s">
        <v>91</v>
      </c>
      <c r="D88" t="s">
        <v>92</v>
      </c>
      <c r="E88" t="s">
        <v>32</v>
      </c>
      <c r="F88">
        <v>43</v>
      </c>
      <c r="G88" t="s">
        <v>93</v>
      </c>
      <c r="H88" t="s">
        <v>94</v>
      </c>
      <c r="I88" t="s">
        <v>163</v>
      </c>
      <c r="J88" t="s">
        <v>164</v>
      </c>
      <c r="K88">
        <v>4</v>
      </c>
      <c r="L88">
        <v>3499</v>
      </c>
      <c r="M88" s="3">
        <v>0.2</v>
      </c>
      <c r="N88">
        <v>11196.8</v>
      </c>
      <c r="O88">
        <v>8800</v>
      </c>
      <c r="P88">
        <v>2396.8000000000002</v>
      </c>
      <c r="Q88" t="s">
        <v>66</v>
      </c>
      <c r="R88" t="s">
        <v>28</v>
      </c>
      <c r="S88">
        <v>4</v>
      </c>
    </row>
    <row r="89" spans="1:19">
      <c r="A89" t="s">
        <v>307</v>
      </c>
      <c r="B89" s="2">
        <v>46129</v>
      </c>
      <c r="C89" t="s">
        <v>113</v>
      </c>
      <c r="D89" t="s">
        <v>114</v>
      </c>
      <c r="E89" t="s">
        <v>32</v>
      </c>
      <c r="F89">
        <v>18</v>
      </c>
      <c r="G89" t="s">
        <v>115</v>
      </c>
      <c r="H89" t="s">
        <v>116</v>
      </c>
      <c r="I89" t="s">
        <v>163</v>
      </c>
      <c r="J89" t="s">
        <v>164</v>
      </c>
      <c r="K89">
        <v>2</v>
      </c>
      <c r="L89">
        <v>3499</v>
      </c>
      <c r="M89" s="3">
        <v>0.2</v>
      </c>
      <c r="N89">
        <v>5598.4</v>
      </c>
      <c r="O89">
        <v>4400</v>
      </c>
      <c r="P89">
        <v>1198.4000000000001</v>
      </c>
      <c r="Q89" t="s">
        <v>37</v>
      </c>
      <c r="R89" t="s">
        <v>28</v>
      </c>
      <c r="S89">
        <v>1</v>
      </c>
    </row>
    <row r="90" spans="1:19">
      <c r="A90" t="s">
        <v>308</v>
      </c>
      <c r="B90" s="2">
        <v>45738</v>
      </c>
      <c r="C90" t="s">
        <v>189</v>
      </c>
      <c r="D90" t="s">
        <v>190</v>
      </c>
      <c r="E90" t="s">
        <v>32</v>
      </c>
      <c r="F90">
        <v>22</v>
      </c>
      <c r="G90" t="s">
        <v>115</v>
      </c>
      <c r="H90" t="s">
        <v>116</v>
      </c>
      <c r="I90" t="s">
        <v>163</v>
      </c>
      <c r="J90" t="s">
        <v>234</v>
      </c>
      <c r="K90">
        <v>4</v>
      </c>
      <c r="L90">
        <v>999</v>
      </c>
      <c r="M90" s="3">
        <v>0.2</v>
      </c>
      <c r="N90">
        <v>3196.8</v>
      </c>
      <c r="O90">
        <v>2400</v>
      </c>
      <c r="P90">
        <v>796.8</v>
      </c>
      <c r="Q90" t="s">
        <v>66</v>
      </c>
      <c r="R90" t="s">
        <v>137</v>
      </c>
      <c r="S90">
        <v>3</v>
      </c>
    </row>
    <row r="91" spans="1:19">
      <c r="A91" t="s">
        <v>309</v>
      </c>
      <c r="B91" s="2">
        <v>46180</v>
      </c>
      <c r="C91" t="s">
        <v>310</v>
      </c>
      <c r="D91" t="s">
        <v>311</v>
      </c>
      <c r="E91" t="s">
        <v>32</v>
      </c>
      <c r="F91">
        <v>50</v>
      </c>
      <c r="G91" t="s">
        <v>81</v>
      </c>
      <c r="H91" t="s">
        <v>82</v>
      </c>
      <c r="I91" t="s">
        <v>163</v>
      </c>
      <c r="J91" t="s">
        <v>164</v>
      </c>
      <c r="K91">
        <v>2</v>
      </c>
      <c r="L91">
        <v>3499</v>
      </c>
      <c r="M91" s="3">
        <v>0</v>
      </c>
      <c r="N91">
        <v>6998</v>
      </c>
      <c r="O91">
        <v>4400</v>
      </c>
      <c r="P91">
        <v>2598</v>
      </c>
      <c r="Q91" t="s">
        <v>69</v>
      </c>
      <c r="R91" t="s">
        <v>28</v>
      </c>
      <c r="S91">
        <v>2</v>
      </c>
    </row>
    <row r="92" spans="1:19">
      <c r="A92" t="s">
        <v>312</v>
      </c>
      <c r="B92" s="2">
        <v>45763</v>
      </c>
      <c r="C92" t="s">
        <v>313</v>
      </c>
      <c r="D92" t="s">
        <v>72</v>
      </c>
      <c r="E92" t="s">
        <v>22</v>
      </c>
      <c r="F92">
        <v>45</v>
      </c>
      <c r="G92" t="s">
        <v>41</v>
      </c>
      <c r="H92" t="s">
        <v>42</v>
      </c>
      <c r="I92" t="s">
        <v>163</v>
      </c>
      <c r="J92" t="s">
        <v>214</v>
      </c>
      <c r="K92">
        <v>2</v>
      </c>
      <c r="L92">
        <v>1499</v>
      </c>
      <c r="M92" s="3">
        <v>0.05</v>
      </c>
      <c r="N92">
        <v>2848.1</v>
      </c>
      <c r="O92">
        <v>1800</v>
      </c>
      <c r="P92">
        <v>1048.0999999999999</v>
      </c>
      <c r="Q92" t="s">
        <v>27</v>
      </c>
      <c r="R92" t="s">
        <v>28</v>
      </c>
      <c r="S92">
        <v>2</v>
      </c>
    </row>
    <row r="93" spans="1:19">
      <c r="A93" t="s">
        <v>314</v>
      </c>
      <c r="B93" s="2">
        <v>46163</v>
      </c>
      <c r="C93" t="s">
        <v>315</v>
      </c>
      <c r="D93" t="s">
        <v>305</v>
      </c>
      <c r="E93" t="s">
        <v>22</v>
      </c>
      <c r="F93">
        <v>18</v>
      </c>
      <c r="G93" t="s">
        <v>48</v>
      </c>
      <c r="H93" t="s">
        <v>42</v>
      </c>
      <c r="I93" t="s">
        <v>75</v>
      </c>
      <c r="J93" t="s">
        <v>76</v>
      </c>
      <c r="K93">
        <v>1</v>
      </c>
      <c r="L93">
        <v>399</v>
      </c>
      <c r="M93" s="3">
        <v>0.05</v>
      </c>
      <c r="N93">
        <v>379.05</v>
      </c>
      <c r="O93">
        <v>220</v>
      </c>
      <c r="P93">
        <v>159.05000000000001</v>
      </c>
      <c r="Q93" t="s">
        <v>66</v>
      </c>
      <c r="R93" t="s">
        <v>28</v>
      </c>
      <c r="S93">
        <v>5</v>
      </c>
    </row>
    <row r="94" spans="1:19">
      <c r="A94" t="s">
        <v>316</v>
      </c>
      <c r="B94" s="2">
        <v>45812</v>
      </c>
      <c r="C94" t="s">
        <v>317</v>
      </c>
      <c r="D94" t="s">
        <v>318</v>
      </c>
      <c r="E94" t="s">
        <v>22</v>
      </c>
      <c r="F94">
        <v>31</v>
      </c>
      <c r="G94" t="s">
        <v>33</v>
      </c>
      <c r="H94" t="s">
        <v>34</v>
      </c>
      <c r="I94" t="s">
        <v>117</v>
      </c>
      <c r="J94" t="s">
        <v>118</v>
      </c>
      <c r="K94">
        <v>3</v>
      </c>
      <c r="L94">
        <v>999</v>
      </c>
      <c r="M94" s="3">
        <v>0.1</v>
      </c>
      <c r="N94">
        <v>2697.3</v>
      </c>
      <c r="O94">
        <v>1650</v>
      </c>
      <c r="P94">
        <v>1047.3</v>
      </c>
      <c r="Q94" t="s">
        <v>66</v>
      </c>
      <c r="R94" t="s">
        <v>28</v>
      </c>
      <c r="S94">
        <v>4</v>
      </c>
    </row>
    <row r="95" spans="1:19">
      <c r="A95" t="s">
        <v>319</v>
      </c>
      <c r="B95" s="2">
        <v>46177</v>
      </c>
      <c r="C95" t="s">
        <v>227</v>
      </c>
      <c r="D95" t="s">
        <v>228</v>
      </c>
      <c r="E95" t="s">
        <v>22</v>
      </c>
      <c r="F95">
        <v>24</v>
      </c>
      <c r="G95" t="s">
        <v>93</v>
      </c>
      <c r="H95" t="s">
        <v>94</v>
      </c>
      <c r="I95" t="s">
        <v>43</v>
      </c>
      <c r="J95" t="s">
        <v>197</v>
      </c>
      <c r="K95">
        <v>1</v>
      </c>
      <c r="L95">
        <v>1799</v>
      </c>
      <c r="M95" s="3">
        <v>0.1</v>
      </c>
      <c r="N95">
        <v>1619.1</v>
      </c>
      <c r="O95">
        <v>1050</v>
      </c>
      <c r="P95">
        <v>569.1</v>
      </c>
      <c r="Q95" t="s">
        <v>69</v>
      </c>
      <c r="R95" t="s">
        <v>28</v>
      </c>
      <c r="S95">
        <v>4</v>
      </c>
    </row>
    <row r="96" spans="1:19">
      <c r="A96" t="s">
        <v>320</v>
      </c>
      <c r="B96" s="2">
        <v>45736</v>
      </c>
      <c r="C96" t="s">
        <v>321</v>
      </c>
      <c r="D96" t="s">
        <v>322</v>
      </c>
      <c r="E96" t="s">
        <v>22</v>
      </c>
      <c r="F96">
        <v>42</v>
      </c>
      <c r="G96" t="s">
        <v>23</v>
      </c>
      <c r="H96" t="s">
        <v>24</v>
      </c>
      <c r="I96" t="s">
        <v>25</v>
      </c>
      <c r="J96" t="s">
        <v>68</v>
      </c>
      <c r="K96">
        <v>3</v>
      </c>
      <c r="L96">
        <v>2999</v>
      </c>
      <c r="M96" s="3">
        <v>0.1</v>
      </c>
      <c r="N96">
        <v>8097.3</v>
      </c>
      <c r="O96">
        <v>5700</v>
      </c>
      <c r="P96">
        <v>2397.3000000000002</v>
      </c>
      <c r="Q96" t="s">
        <v>69</v>
      </c>
      <c r="R96" t="s">
        <v>28</v>
      </c>
      <c r="S96">
        <v>5</v>
      </c>
    </row>
    <row r="97" spans="1:19">
      <c r="A97" t="s">
        <v>323</v>
      </c>
      <c r="B97" s="2">
        <v>46243</v>
      </c>
      <c r="C97" t="s">
        <v>202</v>
      </c>
      <c r="D97" t="s">
        <v>89</v>
      </c>
      <c r="E97" t="s">
        <v>22</v>
      </c>
      <c r="F97">
        <v>50</v>
      </c>
      <c r="G97" t="s">
        <v>93</v>
      </c>
      <c r="H97" t="s">
        <v>94</v>
      </c>
      <c r="I97" t="s">
        <v>35</v>
      </c>
      <c r="J97" t="s">
        <v>136</v>
      </c>
      <c r="K97">
        <v>1</v>
      </c>
      <c r="L97">
        <v>799</v>
      </c>
      <c r="M97" s="3">
        <v>0.15</v>
      </c>
      <c r="N97">
        <v>679.15</v>
      </c>
      <c r="O97">
        <v>450</v>
      </c>
      <c r="P97">
        <v>229.15</v>
      </c>
      <c r="Q97" t="s">
        <v>27</v>
      </c>
      <c r="R97" t="s">
        <v>28</v>
      </c>
      <c r="S97">
        <v>4</v>
      </c>
    </row>
    <row r="98" spans="1:19">
      <c r="A98" t="s">
        <v>324</v>
      </c>
      <c r="B98" s="2">
        <v>45763</v>
      </c>
      <c r="C98" t="s">
        <v>304</v>
      </c>
      <c r="D98" t="s">
        <v>305</v>
      </c>
      <c r="E98" t="s">
        <v>32</v>
      </c>
      <c r="F98">
        <v>32</v>
      </c>
      <c r="G98" t="s">
        <v>146</v>
      </c>
      <c r="H98" t="s">
        <v>61</v>
      </c>
      <c r="I98" t="s">
        <v>25</v>
      </c>
      <c r="J98" t="s">
        <v>62</v>
      </c>
      <c r="K98">
        <v>1</v>
      </c>
      <c r="L98">
        <v>1299</v>
      </c>
      <c r="M98" s="3">
        <v>0.15</v>
      </c>
      <c r="N98">
        <v>1104.1500000000001</v>
      </c>
      <c r="O98">
        <v>800</v>
      </c>
      <c r="P98">
        <v>304.14999999999998</v>
      </c>
      <c r="Q98" t="s">
        <v>37</v>
      </c>
      <c r="R98" t="s">
        <v>51</v>
      </c>
      <c r="S98">
        <v>1</v>
      </c>
    </row>
    <row r="99" spans="1:19">
      <c r="A99" t="s">
        <v>325</v>
      </c>
      <c r="B99" s="2">
        <v>45911</v>
      </c>
      <c r="C99" t="s">
        <v>326</v>
      </c>
      <c r="D99" t="s">
        <v>327</v>
      </c>
      <c r="E99" t="s">
        <v>22</v>
      </c>
      <c r="F99">
        <v>33</v>
      </c>
      <c r="G99" t="s">
        <v>141</v>
      </c>
      <c r="H99" t="s">
        <v>142</v>
      </c>
      <c r="I99" t="s">
        <v>75</v>
      </c>
      <c r="J99" t="s">
        <v>76</v>
      </c>
      <c r="K99">
        <v>2</v>
      </c>
      <c r="L99">
        <v>399</v>
      </c>
      <c r="M99" s="3">
        <v>0</v>
      </c>
      <c r="N99">
        <v>798</v>
      </c>
      <c r="O99">
        <v>440</v>
      </c>
      <c r="P99">
        <v>358</v>
      </c>
      <c r="Q99" t="s">
        <v>66</v>
      </c>
      <c r="R99" t="s">
        <v>51</v>
      </c>
      <c r="S99">
        <v>5</v>
      </c>
    </row>
    <row r="100" spans="1:19">
      <c r="A100" t="s">
        <v>328</v>
      </c>
      <c r="B100" s="2">
        <v>46039</v>
      </c>
      <c r="C100" t="s">
        <v>329</v>
      </c>
      <c r="D100" t="s">
        <v>330</v>
      </c>
      <c r="E100" t="s">
        <v>22</v>
      </c>
      <c r="F100">
        <v>28</v>
      </c>
      <c r="G100" t="s">
        <v>81</v>
      </c>
      <c r="H100" t="s">
        <v>82</v>
      </c>
      <c r="I100" t="s">
        <v>75</v>
      </c>
      <c r="J100" t="s">
        <v>106</v>
      </c>
      <c r="K100">
        <v>2</v>
      </c>
      <c r="L100">
        <v>899</v>
      </c>
      <c r="M100" s="3">
        <v>0.1</v>
      </c>
      <c r="N100">
        <v>1618.2</v>
      </c>
      <c r="O100">
        <v>1200</v>
      </c>
      <c r="P100">
        <v>418.2</v>
      </c>
      <c r="Q100" t="s">
        <v>37</v>
      </c>
      <c r="R100" t="s">
        <v>28</v>
      </c>
      <c r="S100">
        <v>3</v>
      </c>
    </row>
    <row r="101" spans="1:19">
      <c r="A101" t="s">
        <v>331</v>
      </c>
      <c r="B101" s="2">
        <v>45995</v>
      </c>
      <c r="C101" t="s">
        <v>332</v>
      </c>
      <c r="D101" t="s">
        <v>333</v>
      </c>
      <c r="E101" t="s">
        <v>32</v>
      </c>
      <c r="F101">
        <v>28</v>
      </c>
      <c r="G101" t="s">
        <v>93</v>
      </c>
      <c r="H101" t="s">
        <v>94</v>
      </c>
      <c r="I101" t="s">
        <v>75</v>
      </c>
      <c r="J101" t="s">
        <v>76</v>
      </c>
      <c r="K101">
        <v>3</v>
      </c>
      <c r="L101">
        <v>399</v>
      </c>
      <c r="M101" s="3">
        <v>0</v>
      </c>
      <c r="N101">
        <v>1197</v>
      </c>
      <c r="O101">
        <v>660</v>
      </c>
      <c r="P101">
        <v>537</v>
      </c>
      <c r="Q101" t="s">
        <v>69</v>
      </c>
      <c r="R101" t="s">
        <v>28</v>
      </c>
      <c r="S101">
        <v>4</v>
      </c>
    </row>
    <row r="102" spans="1:19">
      <c r="A102" t="s">
        <v>334</v>
      </c>
      <c r="B102" s="2">
        <v>45741</v>
      </c>
      <c r="C102" t="s">
        <v>53</v>
      </c>
      <c r="D102" t="s">
        <v>54</v>
      </c>
      <c r="E102" t="s">
        <v>22</v>
      </c>
      <c r="F102">
        <v>34</v>
      </c>
      <c r="G102" t="s">
        <v>55</v>
      </c>
      <c r="H102" t="s">
        <v>34</v>
      </c>
      <c r="I102" t="s">
        <v>43</v>
      </c>
      <c r="J102" t="s">
        <v>197</v>
      </c>
      <c r="K102">
        <v>2</v>
      </c>
      <c r="L102">
        <v>1799</v>
      </c>
      <c r="M102" s="3">
        <v>0.1</v>
      </c>
      <c r="N102">
        <v>3238.2</v>
      </c>
      <c r="O102">
        <v>2100</v>
      </c>
      <c r="P102">
        <v>1138.2</v>
      </c>
      <c r="Q102" t="s">
        <v>50</v>
      </c>
      <c r="R102" t="s">
        <v>28</v>
      </c>
      <c r="S102">
        <v>3</v>
      </c>
    </row>
    <row r="103" spans="1:19">
      <c r="A103" t="s">
        <v>335</v>
      </c>
      <c r="B103" s="2">
        <v>45744</v>
      </c>
      <c r="C103" t="s">
        <v>139</v>
      </c>
      <c r="D103" t="s">
        <v>140</v>
      </c>
      <c r="E103" t="s">
        <v>22</v>
      </c>
      <c r="F103">
        <v>44</v>
      </c>
      <c r="G103" t="s">
        <v>141</v>
      </c>
      <c r="H103" t="s">
        <v>142</v>
      </c>
      <c r="I103" t="s">
        <v>75</v>
      </c>
      <c r="J103" t="s">
        <v>76</v>
      </c>
      <c r="K103">
        <v>4</v>
      </c>
      <c r="L103">
        <v>399</v>
      </c>
      <c r="M103" s="3">
        <v>0.05</v>
      </c>
      <c r="N103">
        <v>1516.2</v>
      </c>
      <c r="O103">
        <v>880</v>
      </c>
      <c r="P103">
        <v>636.20000000000005</v>
      </c>
      <c r="Q103" t="s">
        <v>37</v>
      </c>
      <c r="R103" t="s">
        <v>28</v>
      </c>
      <c r="S103">
        <v>3</v>
      </c>
    </row>
    <row r="104" spans="1:19">
      <c r="A104" t="s">
        <v>336</v>
      </c>
      <c r="B104" s="2">
        <v>46178</v>
      </c>
      <c r="C104" t="s">
        <v>169</v>
      </c>
      <c r="D104" t="s">
        <v>170</v>
      </c>
      <c r="E104" t="s">
        <v>32</v>
      </c>
      <c r="F104">
        <v>37</v>
      </c>
      <c r="G104" t="s">
        <v>60</v>
      </c>
      <c r="H104" t="s">
        <v>61</v>
      </c>
      <c r="I104" t="s">
        <v>117</v>
      </c>
      <c r="J104" t="s">
        <v>118</v>
      </c>
      <c r="K104">
        <v>1</v>
      </c>
      <c r="L104">
        <v>999</v>
      </c>
      <c r="M104" s="3">
        <v>0.15</v>
      </c>
      <c r="N104">
        <v>849.15</v>
      </c>
      <c r="O104">
        <v>550</v>
      </c>
      <c r="P104">
        <v>299.14999999999998</v>
      </c>
      <c r="Q104" t="s">
        <v>37</v>
      </c>
      <c r="R104" t="s">
        <v>28</v>
      </c>
      <c r="S104">
        <v>3</v>
      </c>
    </row>
    <row r="105" spans="1:19">
      <c r="A105" t="s">
        <v>337</v>
      </c>
      <c r="B105" s="2">
        <v>45854</v>
      </c>
      <c r="C105" t="s">
        <v>338</v>
      </c>
      <c r="D105" t="s">
        <v>339</v>
      </c>
      <c r="E105" t="s">
        <v>32</v>
      </c>
      <c r="F105">
        <v>24</v>
      </c>
      <c r="G105" t="s">
        <v>73</v>
      </c>
      <c r="H105" t="s">
        <v>74</v>
      </c>
      <c r="I105" t="s">
        <v>43</v>
      </c>
      <c r="J105" t="s">
        <v>49</v>
      </c>
      <c r="K105">
        <v>3</v>
      </c>
      <c r="L105">
        <v>799</v>
      </c>
      <c r="M105" s="3">
        <v>0.15</v>
      </c>
      <c r="N105">
        <v>2037.45</v>
      </c>
      <c r="O105">
        <v>1350</v>
      </c>
      <c r="P105">
        <v>687.45</v>
      </c>
      <c r="Q105" t="s">
        <v>27</v>
      </c>
      <c r="R105" t="s">
        <v>51</v>
      </c>
      <c r="S105">
        <v>2</v>
      </c>
    </row>
    <row r="106" spans="1:19">
      <c r="A106" t="s">
        <v>340</v>
      </c>
      <c r="B106" s="2">
        <v>46210</v>
      </c>
      <c r="C106" t="s">
        <v>91</v>
      </c>
      <c r="D106" t="s">
        <v>92</v>
      </c>
      <c r="E106" t="s">
        <v>32</v>
      </c>
      <c r="F106">
        <v>43</v>
      </c>
      <c r="G106" t="s">
        <v>93</v>
      </c>
      <c r="H106" t="s">
        <v>94</v>
      </c>
      <c r="I106" t="s">
        <v>43</v>
      </c>
      <c r="J106" t="s">
        <v>44</v>
      </c>
      <c r="K106">
        <v>1</v>
      </c>
      <c r="L106">
        <v>1599</v>
      </c>
      <c r="M106" s="3">
        <v>0.2</v>
      </c>
      <c r="N106">
        <v>1279.2</v>
      </c>
      <c r="O106">
        <v>950</v>
      </c>
      <c r="P106">
        <v>329.2</v>
      </c>
      <c r="Q106" t="s">
        <v>50</v>
      </c>
      <c r="R106" t="s">
        <v>28</v>
      </c>
      <c r="S106">
        <v>3</v>
      </c>
    </row>
    <row r="107" spans="1:19">
      <c r="A107" t="s">
        <v>341</v>
      </c>
      <c r="B107" s="2">
        <v>45824</v>
      </c>
      <c r="C107" t="s">
        <v>342</v>
      </c>
      <c r="D107" t="s">
        <v>343</v>
      </c>
      <c r="E107" t="s">
        <v>22</v>
      </c>
      <c r="F107">
        <v>23</v>
      </c>
      <c r="G107" t="s">
        <v>48</v>
      </c>
      <c r="H107" t="s">
        <v>42</v>
      </c>
      <c r="I107" t="s">
        <v>75</v>
      </c>
      <c r="J107" t="s">
        <v>106</v>
      </c>
      <c r="K107">
        <v>4</v>
      </c>
      <c r="L107">
        <v>899</v>
      </c>
      <c r="M107" s="3">
        <v>0.05</v>
      </c>
      <c r="N107">
        <v>3416.2</v>
      </c>
      <c r="O107">
        <v>2400</v>
      </c>
      <c r="P107">
        <v>1016.2</v>
      </c>
      <c r="Q107" t="s">
        <v>27</v>
      </c>
      <c r="R107" t="s">
        <v>137</v>
      </c>
      <c r="S107">
        <v>2</v>
      </c>
    </row>
    <row r="108" spans="1:19">
      <c r="A108" t="s">
        <v>344</v>
      </c>
      <c r="B108" s="2">
        <v>45901</v>
      </c>
      <c r="C108" t="s">
        <v>345</v>
      </c>
      <c r="D108" t="s">
        <v>346</v>
      </c>
      <c r="E108" t="s">
        <v>32</v>
      </c>
      <c r="F108">
        <v>33</v>
      </c>
      <c r="G108" t="s">
        <v>73</v>
      </c>
      <c r="H108" t="s">
        <v>74</v>
      </c>
      <c r="I108" t="s">
        <v>25</v>
      </c>
      <c r="J108" t="s">
        <v>68</v>
      </c>
      <c r="K108">
        <v>4</v>
      </c>
      <c r="L108">
        <v>2999</v>
      </c>
      <c r="M108" s="3">
        <v>0.1</v>
      </c>
      <c r="N108">
        <v>10796.4</v>
      </c>
      <c r="O108">
        <v>7600</v>
      </c>
      <c r="P108">
        <v>3196.4</v>
      </c>
      <c r="Q108" t="s">
        <v>66</v>
      </c>
      <c r="R108" t="s">
        <v>28</v>
      </c>
      <c r="S108">
        <v>4</v>
      </c>
    </row>
    <row r="109" spans="1:19">
      <c r="A109" t="s">
        <v>347</v>
      </c>
      <c r="B109" s="2">
        <v>46138</v>
      </c>
      <c r="C109" t="s">
        <v>97</v>
      </c>
      <c r="D109" t="s">
        <v>98</v>
      </c>
      <c r="E109" t="s">
        <v>22</v>
      </c>
      <c r="F109">
        <v>23</v>
      </c>
      <c r="G109" t="s">
        <v>48</v>
      </c>
      <c r="H109" t="s">
        <v>42</v>
      </c>
      <c r="I109" t="s">
        <v>35</v>
      </c>
      <c r="J109" t="s">
        <v>126</v>
      </c>
      <c r="K109">
        <v>2</v>
      </c>
      <c r="L109">
        <v>1499</v>
      </c>
      <c r="M109" s="3">
        <v>0.1</v>
      </c>
      <c r="N109">
        <v>2698.2</v>
      </c>
      <c r="O109">
        <v>1700</v>
      </c>
      <c r="P109">
        <v>998.2</v>
      </c>
      <c r="Q109" t="s">
        <v>27</v>
      </c>
      <c r="R109" t="s">
        <v>28</v>
      </c>
      <c r="S109">
        <v>5</v>
      </c>
    </row>
    <row r="110" spans="1:19">
      <c r="A110" t="s">
        <v>348</v>
      </c>
      <c r="B110" s="2">
        <v>46172</v>
      </c>
      <c r="C110" t="s">
        <v>345</v>
      </c>
      <c r="D110" t="s">
        <v>346</v>
      </c>
      <c r="E110" t="s">
        <v>32</v>
      </c>
      <c r="F110">
        <v>33</v>
      </c>
      <c r="G110" t="s">
        <v>73</v>
      </c>
      <c r="H110" t="s">
        <v>74</v>
      </c>
      <c r="I110" t="s">
        <v>35</v>
      </c>
      <c r="J110" t="s">
        <v>136</v>
      </c>
      <c r="K110">
        <v>3</v>
      </c>
      <c r="L110">
        <v>799</v>
      </c>
      <c r="M110" s="3">
        <v>0.15</v>
      </c>
      <c r="N110">
        <v>2037.45</v>
      </c>
      <c r="O110">
        <v>1350</v>
      </c>
      <c r="P110">
        <v>687.45</v>
      </c>
      <c r="Q110" t="s">
        <v>50</v>
      </c>
      <c r="R110" t="s">
        <v>28</v>
      </c>
      <c r="S110">
        <v>2</v>
      </c>
    </row>
    <row r="111" spans="1:19">
      <c r="A111" t="s">
        <v>349</v>
      </c>
      <c r="B111" s="2">
        <v>45711</v>
      </c>
      <c r="C111" t="s">
        <v>216</v>
      </c>
      <c r="D111" t="s">
        <v>217</v>
      </c>
      <c r="E111" t="s">
        <v>22</v>
      </c>
      <c r="F111">
        <v>43</v>
      </c>
      <c r="G111" t="s">
        <v>115</v>
      </c>
      <c r="H111" t="s">
        <v>116</v>
      </c>
      <c r="I111" t="s">
        <v>75</v>
      </c>
      <c r="J111" t="s">
        <v>106</v>
      </c>
      <c r="K111">
        <v>2</v>
      </c>
      <c r="L111">
        <v>899</v>
      </c>
      <c r="M111" s="3">
        <v>0.1</v>
      </c>
      <c r="N111">
        <v>1618.2</v>
      </c>
      <c r="O111">
        <v>1200</v>
      </c>
      <c r="P111">
        <v>418.2</v>
      </c>
      <c r="Q111" t="s">
        <v>66</v>
      </c>
      <c r="R111" t="s">
        <v>137</v>
      </c>
      <c r="S111">
        <v>1</v>
      </c>
    </row>
    <row r="112" spans="1:19">
      <c r="A112" t="s">
        <v>350</v>
      </c>
      <c r="B112" s="2">
        <v>45822</v>
      </c>
      <c r="C112" t="s">
        <v>351</v>
      </c>
      <c r="D112" t="s">
        <v>352</v>
      </c>
      <c r="E112" t="s">
        <v>32</v>
      </c>
      <c r="F112">
        <v>41</v>
      </c>
      <c r="G112" t="s">
        <v>73</v>
      </c>
      <c r="H112" t="s">
        <v>74</v>
      </c>
      <c r="I112" t="s">
        <v>25</v>
      </c>
      <c r="J112" t="s">
        <v>56</v>
      </c>
      <c r="K112">
        <v>3</v>
      </c>
      <c r="L112">
        <v>899</v>
      </c>
      <c r="M112" s="3">
        <v>0</v>
      </c>
      <c r="N112">
        <v>2697</v>
      </c>
      <c r="O112">
        <v>1650</v>
      </c>
      <c r="P112">
        <v>1047</v>
      </c>
      <c r="Q112" t="s">
        <v>37</v>
      </c>
      <c r="R112" t="s">
        <v>28</v>
      </c>
      <c r="S112">
        <v>5</v>
      </c>
    </row>
    <row r="113" spans="1:19">
      <c r="A113" t="s">
        <v>353</v>
      </c>
      <c r="B113" s="2">
        <v>46119</v>
      </c>
      <c r="C113" t="s">
        <v>354</v>
      </c>
      <c r="D113" t="s">
        <v>339</v>
      </c>
      <c r="E113" t="s">
        <v>32</v>
      </c>
      <c r="F113">
        <v>25</v>
      </c>
      <c r="G113" t="s">
        <v>115</v>
      </c>
      <c r="H113" t="s">
        <v>116</v>
      </c>
      <c r="I113" t="s">
        <v>163</v>
      </c>
      <c r="J113" t="s">
        <v>234</v>
      </c>
      <c r="K113">
        <v>1</v>
      </c>
      <c r="L113">
        <v>999</v>
      </c>
      <c r="M113" s="3">
        <v>0.05</v>
      </c>
      <c r="N113">
        <v>949.05</v>
      </c>
      <c r="O113">
        <v>600</v>
      </c>
      <c r="P113">
        <v>349.05</v>
      </c>
      <c r="Q113" t="s">
        <v>37</v>
      </c>
      <c r="R113" t="s">
        <v>77</v>
      </c>
      <c r="S113">
        <v>4</v>
      </c>
    </row>
    <row r="114" spans="1:19">
      <c r="A114" t="s">
        <v>355</v>
      </c>
      <c r="B114" s="2">
        <v>46053</v>
      </c>
      <c r="C114" t="s">
        <v>332</v>
      </c>
      <c r="D114" t="s">
        <v>333</v>
      </c>
      <c r="E114" t="s">
        <v>32</v>
      </c>
      <c r="F114">
        <v>28</v>
      </c>
      <c r="G114" t="s">
        <v>93</v>
      </c>
      <c r="H114" t="s">
        <v>94</v>
      </c>
      <c r="I114" t="s">
        <v>163</v>
      </c>
      <c r="J114" t="s">
        <v>290</v>
      </c>
      <c r="K114">
        <v>3</v>
      </c>
      <c r="L114">
        <v>1999</v>
      </c>
      <c r="M114" s="3">
        <v>0.05</v>
      </c>
      <c r="N114">
        <v>5697.15</v>
      </c>
      <c r="O114">
        <v>3600</v>
      </c>
      <c r="P114">
        <v>2097.15</v>
      </c>
      <c r="Q114" t="s">
        <v>69</v>
      </c>
      <c r="R114" t="s">
        <v>28</v>
      </c>
      <c r="S114">
        <v>1</v>
      </c>
    </row>
    <row r="115" spans="1:19">
      <c r="A115" t="s">
        <v>356</v>
      </c>
      <c r="B115" s="2">
        <v>45798</v>
      </c>
      <c r="C115" t="s">
        <v>357</v>
      </c>
      <c r="D115" t="s">
        <v>237</v>
      </c>
      <c r="E115" t="s">
        <v>22</v>
      </c>
      <c r="F115">
        <v>42</v>
      </c>
      <c r="G115" t="s">
        <v>251</v>
      </c>
      <c r="H115" t="s">
        <v>251</v>
      </c>
      <c r="I115" t="s">
        <v>25</v>
      </c>
      <c r="J115" t="s">
        <v>56</v>
      </c>
      <c r="K115">
        <v>3</v>
      </c>
      <c r="L115">
        <v>899</v>
      </c>
      <c r="M115" s="3">
        <v>0.05</v>
      </c>
      <c r="N115">
        <v>2562.15</v>
      </c>
      <c r="O115">
        <v>1650</v>
      </c>
      <c r="P115">
        <v>912.15</v>
      </c>
      <c r="Q115" t="s">
        <v>69</v>
      </c>
      <c r="R115" t="s">
        <v>28</v>
      </c>
      <c r="S115">
        <v>4</v>
      </c>
    </row>
    <row r="116" spans="1:19">
      <c r="A116" t="s">
        <v>358</v>
      </c>
      <c r="B116" s="2">
        <v>45663</v>
      </c>
      <c r="C116" t="s">
        <v>359</v>
      </c>
      <c r="D116" t="s">
        <v>360</v>
      </c>
      <c r="E116" t="s">
        <v>32</v>
      </c>
      <c r="F116">
        <v>51</v>
      </c>
      <c r="G116" t="s">
        <v>251</v>
      </c>
      <c r="H116" t="s">
        <v>251</v>
      </c>
      <c r="I116" t="s">
        <v>117</v>
      </c>
      <c r="J116" t="s">
        <v>238</v>
      </c>
      <c r="K116">
        <v>4</v>
      </c>
      <c r="L116">
        <v>2499</v>
      </c>
      <c r="M116" s="3">
        <v>0.15</v>
      </c>
      <c r="N116">
        <v>8496.6</v>
      </c>
      <c r="O116">
        <v>6000</v>
      </c>
      <c r="P116">
        <v>2496.6</v>
      </c>
      <c r="Q116" t="s">
        <v>69</v>
      </c>
      <c r="R116" t="s">
        <v>28</v>
      </c>
      <c r="S116">
        <v>2</v>
      </c>
    </row>
    <row r="117" spans="1:19">
      <c r="A117" t="s">
        <v>361</v>
      </c>
      <c r="B117" s="2">
        <v>45953</v>
      </c>
      <c r="C117" t="s">
        <v>158</v>
      </c>
      <c r="D117" t="s">
        <v>159</v>
      </c>
      <c r="E117" t="s">
        <v>32</v>
      </c>
      <c r="F117">
        <v>19</v>
      </c>
      <c r="G117" t="s">
        <v>60</v>
      </c>
      <c r="H117" t="s">
        <v>61</v>
      </c>
      <c r="I117" t="s">
        <v>35</v>
      </c>
      <c r="J117" t="s">
        <v>126</v>
      </c>
      <c r="K117">
        <v>4</v>
      </c>
      <c r="L117">
        <v>1499</v>
      </c>
      <c r="M117" s="3">
        <v>0</v>
      </c>
      <c r="N117">
        <v>5996</v>
      </c>
      <c r="O117">
        <v>3400</v>
      </c>
      <c r="P117">
        <v>2596</v>
      </c>
      <c r="Q117" t="s">
        <v>27</v>
      </c>
      <c r="R117" t="s">
        <v>28</v>
      </c>
      <c r="S117">
        <v>1</v>
      </c>
    </row>
    <row r="118" spans="1:19">
      <c r="A118" t="s">
        <v>362</v>
      </c>
      <c r="B118" s="2">
        <v>45771</v>
      </c>
      <c r="C118" t="s">
        <v>363</v>
      </c>
      <c r="D118" t="s">
        <v>155</v>
      </c>
      <c r="E118" t="s">
        <v>32</v>
      </c>
      <c r="F118">
        <v>43</v>
      </c>
      <c r="G118" t="s">
        <v>48</v>
      </c>
      <c r="H118" t="s">
        <v>42</v>
      </c>
      <c r="I118" t="s">
        <v>163</v>
      </c>
      <c r="J118" t="s">
        <v>234</v>
      </c>
      <c r="K118">
        <v>4</v>
      </c>
      <c r="L118">
        <v>999</v>
      </c>
      <c r="M118" s="3">
        <v>0</v>
      </c>
      <c r="N118">
        <v>3996</v>
      </c>
      <c r="O118">
        <v>2400</v>
      </c>
      <c r="P118">
        <v>1596</v>
      </c>
      <c r="Q118" t="s">
        <v>66</v>
      </c>
      <c r="R118" t="s">
        <v>28</v>
      </c>
      <c r="S118">
        <v>1</v>
      </c>
    </row>
    <row r="119" spans="1:19">
      <c r="A119" t="s">
        <v>364</v>
      </c>
      <c r="B119" s="2">
        <v>45956</v>
      </c>
      <c r="C119" t="s">
        <v>365</v>
      </c>
      <c r="D119" t="s">
        <v>366</v>
      </c>
      <c r="E119" t="s">
        <v>22</v>
      </c>
      <c r="F119">
        <v>54</v>
      </c>
      <c r="G119" t="s">
        <v>93</v>
      </c>
      <c r="H119" t="s">
        <v>94</v>
      </c>
      <c r="I119" t="s">
        <v>75</v>
      </c>
      <c r="J119" t="s">
        <v>86</v>
      </c>
      <c r="K119">
        <v>2</v>
      </c>
      <c r="L119">
        <v>499</v>
      </c>
      <c r="M119" s="3">
        <v>0.05</v>
      </c>
      <c r="N119">
        <v>948.1</v>
      </c>
      <c r="O119">
        <v>600</v>
      </c>
      <c r="P119">
        <v>348.1</v>
      </c>
      <c r="Q119" t="s">
        <v>66</v>
      </c>
      <c r="R119" t="s">
        <v>28</v>
      </c>
      <c r="S119">
        <v>3</v>
      </c>
    </row>
    <row r="120" spans="1:19">
      <c r="A120" t="s">
        <v>367</v>
      </c>
      <c r="B120" s="2">
        <v>45745</v>
      </c>
      <c r="C120" t="s">
        <v>363</v>
      </c>
      <c r="D120" t="s">
        <v>155</v>
      </c>
      <c r="E120" t="s">
        <v>32</v>
      </c>
      <c r="F120">
        <v>43</v>
      </c>
      <c r="G120" t="s">
        <v>48</v>
      </c>
      <c r="H120" t="s">
        <v>42</v>
      </c>
      <c r="I120" t="s">
        <v>75</v>
      </c>
      <c r="J120" t="s">
        <v>86</v>
      </c>
      <c r="K120">
        <v>4</v>
      </c>
      <c r="L120">
        <v>499</v>
      </c>
      <c r="M120" s="3">
        <v>0.05</v>
      </c>
      <c r="N120">
        <v>1896.2</v>
      </c>
      <c r="O120">
        <v>1200</v>
      </c>
      <c r="P120">
        <v>696.2</v>
      </c>
      <c r="Q120" t="s">
        <v>50</v>
      </c>
      <c r="R120" t="s">
        <v>51</v>
      </c>
      <c r="S120">
        <v>1</v>
      </c>
    </row>
    <row r="121" spans="1:19">
      <c r="A121" t="s">
        <v>368</v>
      </c>
      <c r="B121" s="2">
        <v>46139</v>
      </c>
      <c r="C121" t="s">
        <v>369</v>
      </c>
      <c r="D121" t="s">
        <v>370</v>
      </c>
      <c r="E121" t="s">
        <v>22</v>
      </c>
      <c r="F121">
        <v>37</v>
      </c>
      <c r="G121" t="s">
        <v>81</v>
      </c>
      <c r="H121" t="s">
        <v>82</v>
      </c>
      <c r="I121" t="s">
        <v>35</v>
      </c>
      <c r="J121" t="s">
        <v>126</v>
      </c>
      <c r="K121">
        <v>1</v>
      </c>
      <c r="L121">
        <v>1499</v>
      </c>
      <c r="M121" s="3">
        <v>0.15</v>
      </c>
      <c r="N121">
        <v>1274.1500000000001</v>
      </c>
      <c r="O121">
        <v>850</v>
      </c>
      <c r="P121">
        <v>424.15</v>
      </c>
      <c r="Q121" t="s">
        <v>69</v>
      </c>
      <c r="R121" t="s">
        <v>28</v>
      </c>
      <c r="S121">
        <v>3</v>
      </c>
    </row>
    <row r="122" spans="1:19">
      <c r="A122" t="s">
        <v>371</v>
      </c>
      <c r="B122" s="2">
        <v>45727</v>
      </c>
      <c r="C122" t="s">
        <v>209</v>
      </c>
      <c r="D122" t="s">
        <v>210</v>
      </c>
      <c r="E122" t="s">
        <v>32</v>
      </c>
      <c r="F122">
        <v>26</v>
      </c>
      <c r="G122" t="s">
        <v>23</v>
      </c>
      <c r="H122" t="s">
        <v>24</v>
      </c>
      <c r="I122" t="s">
        <v>117</v>
      </c>
      <c r="J122" t="s">
        <v>152</v>
      </c>
      <c r="K122">
        <v>1</v>
      </c>
      <c r="L122">
        <v>899</v>
      </c>
      <c r="M122" s="3">
        <v>0.1</v>
      </c>
      <c r="N122">
        <v>809.1</v>
      </c>
      <c r="O122">
        <v>500</v>
      </c>
      <c r="P122">
        <v>309.10000000000002</v>
      </c>
      <c r="Q122" t="s">
        <v>37</v>
      </c>
      <c r="R122" t="s">
        <v>28</v>
      </c>
      <c r="S122">
        <v>1</v>
      </c>
    </row>
    <row r="123" spans="1:19">
      <c r="A123" t="s">
        <v>372</v>
      </c>
      <c r="B123" s="2">
        <v>45703</v>
      </c>
      <c r="C123" t="s">
        <v>212</v>
      </c>
      <c r="D123" t="s">
        <v>213</v>
      </c>
      <c r="E123" t="s">
        <v>22</v>
      </c>
      <c r="F123">
        <v>33</v>
      </c>
      <c r="G123" t="s">
        <v>48</v>
      </c>
      <c r="H123" t="s">
        <v>42</v>
      </c>
      <c r="I123" t="s">
        <v>117</v>
      </c>
      <c r="J123" t="s">
        <v>152</v>
      </c>
      <c r="K123">
        <v>3</v>
      </c>
      <c r="L123">
        <v>899</v>
      </c>
      <c r="M123" s="3">
        <v>0.05</v>
      </c>
      <c r="N123">
        <v>2562.15</v>
      </c>
      <c r="O123">
        <v>1500</v>
      </c>
      <c r="P123">
        <v>1062.1500000000001</v>
      </c>
      <c r="Q123" t="s">
        <v>37</v>
      </c>
      <c r="R123" t="s">
        <v>28</v>
      </c>
      <c r="S123">
        <v>2</v>
      </c>
    </row>
    <row r="124" spans="1:19">
      <c r="A124" t="s">
        <v>373</v>
      </c>
      <c r="B124" s="2">
        <v>45796</v>
      </c>
      <c r="C124" t="s">
        <v>144</v>
      </c>
      <c r="D124" t="s">
        <v>145</v>
      </c>
      <c r="E124" t="s">
        <v>32</v>
      </c>
      <c r="F124">
        <v>37</v>
      </c>
      <c r="G124" t="s">
        <v>146</v>
      </c>
      <c r="H124" t="s">
        <v>61</v>
      </c>
      <c r="I124" t="s">
        <v>117</v>
      </c>
      <c r="J124" t="s">
        <v>238</v>
      </c>
      <c r="K124">
        <v>4</v>
      </c>
      <c r="L124">
        <v>2499</v>
      </c>
      <c r="M124" s="3">
        <v>0.05</v>
      </c>
      <c r="N124">
        <v>9496.2000000000007</v>
      </c>
      <c r="O124">
        <v>6000</v>
      </c>
      <c r="P124">
        <v>3496.2</v>
      </c>
      <c r="Q124" t="s">
        <v>69</v>
      </c>
      <c r="R124" t="s">
        <v>28</v>
      </c>
      <c r="S124">
        <v>4</v>
      </c>
    </row>
    <row r="125" spans="1:19">
      <c r="A125" t="s">
        <v>374</v>
      </c>
      <c r="B125" s="2">
        <v>45862</v>
      </c>
      <c r="C125" t="s">
        <v>321</v>
      </c>
      <c r="D125" t="s">
        <v>322</v>
      </c>
      <c r="E125" t="s">
        <v>22</v>
      </c>
      <c r="F125">
        <v>42</v>
      </c>
      <c r="G125" t="s">
        <v>23</v>
      </c>
      <c r="H125" t="s">
        <v>24</v>
      </c>
      <c r="I125" t="s">
        <v>43</v>
      </c>
      <c r="J125" t="s">
        <v>44</v>
      </c>
      <c r="K125">
        <v>2</v>
      </c>
      <c r="L125">
        <v>1599</v>
      </c>
      <c r="M125" s="3">
        <v>0</v>
      </c>
      <c r="N125">
        <v>3198</v>
      </c>
      <c r="O125">
        <v>1900</v>
      </c>
      <c r="P125">
        <v>1298</v>
      </c>
      <c r="Q125" t="s">
        <v>69</v>
      </c>
      <c r="R125" t="s">
        <v>28</v>
      </c>
      <c r="S125">
        <v>3</v>
      </c>
    </row>
    <row r="126" spans="1:19">
      <c r="A126" t="s">
        <v>375</v>
      </c>
      <c r="B126" s="2">
        <v>45695</v>
      </c>
      <c r="C126" t="s">
        <v>365</v>
      </c>
      <c r="D126" t="s">
        <v>366</v>
      </c>
      <c r="E126" t="s">
        <v>22</v>
      </c>
      <c r="F126">
        <v>54</v>
      </c>
      <c r="G126" t="s">
        <v>93</v>
      </c>
      <c r="H126" t="s">
        <v>94</v>
      </c>
      <c r="I126" t="s">
        <v>163</v>
      </c>
      <c r="J126" t="s">
        <v>290</v>
      </c>
      <c r="K126">
        <v>4</v>
      </c>
      <c r="L126">
        <v>1999</v>
      </c>
      <c r="M126" s="3">
        <v>0.1</v>
      </c>
      <c r="N126">
        <v>7196.4</v>
      </c>
      <c r="O126">
        <v>4800</v>
      </c>
      <c r="P126">
        <v>2396.4</v>
      </c>
      <c r="Q126" t="s">
        <v>27</v>
      </c>
      <c r="R126" t="s">
        <v>28</v>
      </c>
      <c r="S126">
        <v>1</v>
      </c>
    </row>
    <row r="127" spans="1:19">
      <c r="A127" t="s">
        <v>376</v>
      </c>
      <c r="B127" s="2">
        <v>46105</v>
      </c>
      <c r="C127" t="s">
        <v>247</v>
      </c>
      <c r="D127" t="s">
        <v>248</v>
      </c>
      <c r="E127" t="s">
        <v>32</v>
      </c>
      <c r="F127">
        <v>35</v>
      </c>
      <c r="G127" t="s">
        <v>33</v>
      </c>
      <c r="H127" t="s">
        <v>34</v>
      </c>
      <c r="I127" t="s">
        <v>43</v>
      </c>
      <c r="J127" t="s">
        <v>197</v>
      </c>
      <c r="K127">
        <v>1</v>
      </c>
      <c r="L127">
        <v>1799</v>
      </c>
      <c r="M127" s="3">
        <v>0.1</v>
      </c>
      <c r="N127">
        <v>1619.1</v>
      </c>
      <c r="O127">
        <v>1050</v>
      </c>
      <c r="P127">
        <v>569.1</v>
      </c>
      <c r="Q127" t="s">
        <v>66</v>
      </c>
      <c r="R127" t="s">
        <v>28</v>
      </c>
      <c r="S127">
        <v>4</v>
      </c>
    </row>
    <row r="128" spans="1:19">
      <c r="A128" t="s">
        <v>377</v>
      </c>
      <c r="B128" s="2">
        <v>46034</v>
      </c>
      <c r="C128" t="s">
        <v>175</v>
      </c>
      <c r="D128" t="s">
        <v>176</v>
      </c>
      <c r="E128" t="s">
        <v>32</v>
      </c>
      <c r="F128">
        <v>29</v>
      </c>
      <c r="G128" t="s">
        <v>60</v>
      </c>
      <c r="H128" t="s">
        <v>61</v>
      </c>
      <c r="I128" t="s">
        <v>43</v>
      </c>
      <c r="J128" t="s">
        <v>95</v>
      </c>
      <c r="K128">
        <v>4</v>
      </c>
      <c r="L128">
        <v>2499</v>
      </c>
      <c r="M128" s="3">
        <v>0.15</v>
      </c>
      <c r="N128">
        <v>8496.6</v>
      </c>
      <c r="O128">
        <v>6000</v>
      </c>
      <c r="P128">
        <v>2496.6</v>
      </c>
      <c r="Q128" t="s">
        <v>50</v>
      </c>
      <c r="R128" t="s">
        <v>28</v>
      </c>
      <c r="S128">
        <v>1</v>
      </c>
    </row>
    <row r="129" spans="1:19">
      <c r="A129" t="s">
        <v>378</v>
      </c>
      <c r="B129" s="2">
        <v>45842</v>
      </c>
      <c r="C129" t="s">
        <v>100</v>
      </c>
      <c r="D129" t="s">
        <v>101</v>
      </c>
      <c r="E129" t="s">
        <v>32</v>
      </c>
      <c r="F129">
        <v>50</v>
      </c>
      <c r="G129" t="s">
        <v>55</v>
      </c>
      <c r="H129" t="s">
        <v>34</v>
      </c>
      <c r="I129" t="s">
        <v>25</v>
      </c>
      <c r="J129" t="s">
        <v>26</v>
      </c>
      <c r="K129">
        <v>4</v>
      </c>
      <c r="L129">
        <v>2499</v>
      </c>
      <c r="M129" s="3">
        <v>0.2</v>
      </c>
      <c r="N129">
        <v>7996.8</v>
      </c>
      <c r="O129">
        <v>6400</v>
      </c>
      <c r="P129">
        <v>1596.8</v>
      </c>
      <c r="Q129" t="s">
        <v>50</v>
      </c>
      <c r="R129" t="s">
        <v>28</v>
      </c>
      <c r="S129">
        <v>1</v>
      </c>
    </row>
    <row r="130" spans="1:19">
      <c r="A130" t="s">
        <v>379</v>
      </c>
      <c r="B130" s="2">
        <v>46114</v>
      </c>
      <c r="C130" t="s">
        <v>295</v>
      </c>
      <c r="D130" t="s">
        <v>296</v>
      </c>
      <c r="E130" t="s">
        <v>22</v>
      </c>
      <c r="F130">
        <v>33</v>
      </c>
      <c r="G130" t="s">
        <v>41</v>
      </c>
      <c r="H130" t="s">
        <v>42</v>
      </c>
      <c r="I130" t="s">
        <v>163</v>
      </c>
      <c r="J130" t="s">
        <v>164</v>
      </c>
      <c r="K130">
        <v>3</v>
      </c>
      <c r="L130">
        <v>3499</v>
      </c>
      <c r="M130" s="3">
        <v>0.1</v>
      </c>
      <c r="N130">
        <v>9447.2999999999993</v>
      </c>
      <c r="O130">
        <v>6600</v>
      </c>
      <c r="P130">
        <v>2847.3</v>
      </c>
      <c r="Q130" t="s">
        <v>50</v>
      </c>
      <c r="R130" t="s">
        <v>28</v>
      </c>
      <c r="S130">
        <v>2</v>
      </c>
    </row>
    <row r="131" spans="1:19">
      <c r="A131" t="s">
        <v>380</v>
      </c>
      <c r="B131" s="2">
        <v>46019</v>
      </c>
      <c r="C131" t="s">
        <v>381</v>
      </c>
      <c r="D131" t="s">
        <v>382</v>
      </c>
      <c r="E131" t="s">
        <v>22</v>
      </c>
      <c r="F131">
        <v>26</v>
      </c>
      <c r="G131" t="s">
        <v>55</v>
      </c>
      <c r="H131" t="s">
        <v>34</v>
      </c>
      <c r="I131" t="s">
        <v>163</v>
      </c>
      <c r="J131" t="s">
        <v>214</v>
      </c>
      <c r="K131">
        <v>4</v>
      </c>
      <c r="L131">
        <v>1499</v>
      </c>
      <c r="M131" s="3">
        <v>0</v>
      </c>
      <c r="N131">
        <v>5996</v>
      </c>
      <c r="O131">
        <v>3600</v>
      </c>
      <c r="P131">
        <v>2396</v>
      </c>
      <c r="Q131" t="s">
        <v>50</v>
      </c>
      <c r="R131" t="s">
        <v>51</v>
      </c>
      <c r="S131">
        <v>3</v>
      </c>
    </row>
    <row r="132" spans="1:19">
      <c r="A132" t="s">
        <v>383</v>
      </c>
      <c r="B132" s="2">
        <v>46183</v>
      </c>
      <c r="C132" t="s">
        <v>384</v>
      </c>
      <c r="D132" t="s">
        <v>385</v>
      </c>
      <c r="E132" t="s">
        <v>32</v>
      </c>
      <c r="F132">
        <v>22</v>
      </c>
      <c r="G132" t="s">
        <v>48</v>
      </c>
      <c r="H132" t="s">
        <v>42</v>
      </c>
      <c r="I132" t="s">
        <v>25</v>
      </c>
      <c r="J132" t="s">
        <v>26</v>
      </c>
      <c r="K132">
        <v>4</v>
      </c>
      <c r="L132">
        <v>2499</v>
      </c>
      <c r="M132" s="3">
        <v>0.1</v>
      </c>
      <c r="N132">
        <v>8996.4</v>
      </c>
      <c r="O132">
        <v>6400</v>
      </c>
      <c r="P132">
        <v>2596.4</v>
      </c>
      <c r="Q132" t="s">
        <v>27</v>
      </c>
      <c r="R132" t="s">
        <v>51</v>
      </c>
      <c r="S132">
        <v>2</v>
      </c>
    </row>
    <row r="133" spans="1:19">
      <c r="A133" t="s">
        <v>386</v>
      </c>
      <c r="B133" s="2">
        <v>45899</v>
      </c>
      <c r="C133" t="s">
        <v>345</v>
      </c>
      <c r="D133" t="s">
        <v>346</v>
      </c>
      <c r="E133" t="s">
        <v>32</v>
      </c>
      <c r="F133">
        <v>33</v>
      </c>
      <c r="G133" t="s">
        <v>73</v>
      </c>
      <c r="H133" t="s">
        <v>74</v>
      </c>
      <c r="I133" t="s">
        <v>25</v>
      </c>
      <c r="J133" t="s">
        <v>68</v>
      </c>
      <c r="K133">
        <v>2</v>
      </c>
      <c r="L133">
        <v>2999</v>
      </c>
      <c r="M133" s="3">
        <v>0</v>
      </c>
      <c r="N133">
        <v>5998</v>
      </c>
      <c r="O133">
        <v>3800</v>
      </c>
      <c r="P133">
        <v>2198</v>
      </c>
      <c r="Q133" t="s">
        <v>37</v>
      </c>
      <c r="R133" t="s">
        <v>28</v>
      </c>
      <c r="S133">
        <v>5</v>
      </c>
    </row>
    <row r="134" spans="1:19">
      <c r="A134" t="s">
        <v>387</v>
      </c>
      <c r="B134" s="2">
        <v>46037</v>
      </c>
      <c r="C134" t="s">
        <v>236</v>
      </c>
      <c r="D134" t="s">
        <v>237</v>
      </c>
      <c r="E134" t="s">
        <v>32</v>
      </c>
      <c r="F134">
        <v>34</v>
      </c>
      <c r="G134" t="s">
        <v>180</v>
      </c>
      <c r="H134" t="s">
        <v>181</v>
      </c>
      <c r="I134" t="s">
        <v>75</v>
      </c>
      <c r="J134" t="s">
        <v>106</v>
      </c>
      <c r="K134">
        <v>2</v>
      </c>
      <c r="L134">
        <v>899</v>
      </c>
      <c r="M134" s="3">
        <v>0.15</v>
      </c>
      <c r="N134">
        <v>1528.3</v>
      </c>
      <c r="O134">
        <v>1200</v>
      </c>
      <c r="P134">
        <v>328.3</v>
      </c>
      <c r="Q134" t="s">
        <v>37</v>
      </c>
      <c r="R134" t="s">
        <v>28</v>
      </c>
      <c r="S134">
        <v>1</v>
      </c>
    </row>
    <row r="135" spans="1:19">
      <c r="A135" t="s">
        <v>388</v>
      </c>
      <c r="B135" s="2">
        <v>45979</v>
      </c>
      <c r="C135" t="s">
        <v>283</v>
      </c>
      <c r="D135" t="s">
        <v>284</v>
      </c>
      <c r="E135" t="s">
        <v>32</v>
      </c>
      <c r="F135">
        <v>39</v>
      </c>
      <c r="G135" t="s">
        <v>55</v>
      </c>
      <c r="H135" t="s">
        <v>34</v>
      </c>
      <c r="I135" t="s">
        <v>25</v>
      </c>
      <c r="J135" t="s">
        <v>62</v>
      </c>
      <c r="K135">
        <v>3</v>
      </c>
      <c r="L135">
        <v>1299</v>
      </c>
      <c r="M135" s="3">
        <v>0.15</v>
      </c>
      <c r="N135">
        <v>3312.45</v>
      </c>
      <c r="O135">
        <v>2400</v>
      </c>
      <c r="P135">
        <v>912.45</v>
      </c>
      <c r="Q135" t="s">
        <v>37</v>
      </c>
      <c r="R135" t="s">
        <v>28</v>
      </c>
      <c r="S135">
        <v>1</v>
      </c>
    </row>
    <row r="136" spans="1:19">
      <c r="A136" t="s">
        <v>389</v>
      </c>
      <c r="B136" s="2">
        <v>46188</v>
      </c>
      <c r="C136" t="s">
        <v>390</v>
      </c>
      <c r="D136" t="s">
        <v>391</v>
      </c>
      <c r="E136" t="s">
        <v>32</v>
      </c>
      <c r="F136">
        <v>27</v>
      </c>
      <c r="G136" t="s">
        <v>55</v>
      </c>
      <c r="H136" t="s">
        <v>34</v>
      </c>
      <c r="I136" t="s">
        <v>117</v>
      </c>
      <c r="J136" t="s">
        <v>152</v>
      </c>
      <c r="K136">
        <v>2</v>
      </c>
      <c r="L136">
        <v>899</v>
      </c>
      <c r="M136" s="3">
        <v>0.15</v>
      </c>
      <c r="N136">
        <v>1528.3</v>
      </c>
      <c r="O136">
        <v>1000</v>
      </c>
      <c r="P136">
        <v>528.29999999999995</v>
      </c>
      <c r="Q136" t="s">
        <v>66</v>
      </c>
      <c r="R136" t="s">
        <v>77</v>
      </c>
      <c r="S136">
        <v>1</v>
      </c>
    </row>
    <row r="137" spans="1:19">
      <c r="A137" t="s">
        <v>392</v>
      </c>
      <c r="B137" s="2">
        <v>45950</v>
      </c>
      <c r="C137" t="s">
        <v>393</v>
      </c>
      <c r="D137" t="s">
        <v>394</v>
      </c>
      <c r="E137" t="s">
        <v>22</v>
      </c>
      <c r="F137">
        <v>26</v>
      </c>
      <c r="G137" t="s">
        <v>41</v>
      </c>
      <c r="H137" t="s">
        <v>42</v>
      </c>
      <c r="I137" t="s">
        <v>43</v>
      </c>
      <c r="J137" t="s">
        <v>197</v>
      </c>
      <c r="K137">
        <v>4</v>
      </c>
      <c r="L137">
        <v>1799</v>
      </c>
      <c r="M137" s="3">
        <v>0.05</v>
      </c>
      <c r="N137">
        <v>6836.2</v>
      </c>
      <c r="O137">
        <v>4200</v>
      </c>
      <c r="P137">
        <v>2636.2</v>
      </c>
      <c r="Q137" t="s">
        <v>66</v>
      </c>
      <c r="R137" t="s">
        <v>28</v>
      </c>
      <c r="S137">
        <v>2</v>
      </c>
    </row>
    <row r="138" spans="1:19">
      <c r="A138" t="s">
        <v>395</v>
      </c>
      <c r="B138" s="2">
        <v>45747</v>
      </c>
      <c r="C138" t="s">
        <v>261</v>
      </c>
      <c r="D138" t="s">
        <v>262</v>
      </c>
      <c r="E138" t="s">
        <v>22</v>
      </c>
      <c r="F138">
        <v>54</v>
      </c>
      <c r="G138" t="s">
        <v>60</v>
      </c>
      <c r="H138" t="s">
        <v>61</v>
      </c>
      <c r="I138" t="s">
        <v>35</v>
      </c>
      <c r="J138" t="s">
        <v>136</v>
      </c>
      <c r="K138">
        <v>2</v>
      </c>
      <c r="L138">
        <v>799</v>
      </c>
      <c r="M138" s="3">
        <v>0.15</v>
      </c>
      <c r="N138">
        <v>1358.3</v>
      </c>
      <c r="O138">
        <v>900</v>
      </c>
      <c r="P138">
        <v>458.3</v>
      </c>
      <c r="Q138" t="s">
        <v>37</v>
      </c>
      <c r="R138" t="s">
        <v>28</v>
      </c>
      <c r="S138">
        <v>1</v>
      </c>
    </row>
    <row r="139" spans="1:19">
      <c r="A139" t="s">
        <v>396</v>
      </c>
      <c r="B139" s="2">
        <v>45819</v>
      </c>
      <c r="C139" t="s">
        <v>397</v>
      </c>
      <c r="D139" t="s">
        <v>284</v>
      </c>
      <c r="E139" t="s">
        <v>22</v>
      </c>
      <c r="F139">
        <v>51</v>
      </c>
      <c r="G139" t="s">
        <v>33</v>
      </c>
      <c r="H139" t="s">
        <v>34</v>
      </c>
      <c r="I139" t="s">
        <v>35</v>
      </c>
      <c r="J139" t="s">
        <v>126</v>
      </c>
      <c r="K139">
        <v>3</v>
      </c>
      <c r="L139">
        <v>1499</v>
      </c>
      <c r="M139" s="3">
        <v>0.1</v>
      </c>
      <c r="N139">
        <v>4047.3</v>
      </c>
      <c r="O139">
        <v>2550</v>
      </c>
      <c r="P139">
        <v>1497.3</v>
      </c>
      <c r="Q139" t="s">
        <v>27</v>
      </c>
      <c r="R139" t="s">
        <v>137</v>
      </c>
      <c r="S139">
        <v>2</v>
      </c>
    </row>
    <row r="140" spans="1:19">
      <c r="A140" t="s">
        <v>398</v>
      </c>
      <c r="B140" s="2">
        <v>46163</v>
      </c>
      <c r="C140" t="s">
        <v>243</v>
      </c>
      <c r="D140" t="s">
        <v>244</v>
      </c>
      <c r="E140" t="s">
        <v>22</v>
      </c>
      <c r="F140">
        <v>38</v>
      </c>
      <c r="G140" t="s">
        <v>23</v>
      </c>
      <c r="H140" t="s">
        <v>24</v>
      </c>
      <c r="I140" t="s">
        <v>43</v>
      </c>
      <c r="J140" t="s">
        <v>49</v>
      </c>
      <c r="K140">
        <v>2</v>
      </c>
      <c r="L140">
        <v>799</v>
      </c>
      <c r="M140" s="3">
        <v>0.05</v>
      </c>
      <c r="N140">
        <v>1518.1</v>
      </c>
      <c r="O140">
        <v>900</v>
      </c>
      <c r="P140">
        <v>618.1</v>
      </c>
      <c r="Q140" t="s">
        <v>69</v>
      </c>
      <c r="R140" t="s">
        <v>28</v>
      </c>
      <c r="S140">
        <v>5</v>
      </c>
    </row>
    <row r="141" spans="1:19">
      <c r="A141" t="s">
        <v>399</v>
      </c>
      <c r="B141" s="2">
        <v>45746</v>
      </c>
      <c r="C141" t="s">
        <v>30</v>
      </c>
      <c r="D141" t="s">
        <v>31</v>
      </c>
      <c r="E141" t="s">
        <v>32</v>
      </c>
      <c r="F141">
        <v>29</v>
      </c>
      <c r="G141" t="s">
        <v>33</v>
      </c>
      <c r="H141" t="s">
        <v>34</v>
      </c>
      <c r="I141" t="s">
        <v>35</v>
      </c>
      <c r="J141" t="s">
        <v>136</v>
      </c>
      <c r="K141">
        <v>2</v>
      </c>
      <c r="L141">
        <v>799</v>
      </c>
      <c r="M141" s="3">
        <v>0.2</v>
      </c>
      <c r="N141">
        <v>1278.4000000000001</v>
      </c>
      <c r="O141">
        <v>900</v>
      </c>
      <c r="P141">
        <v>378.4</v>
      </c>
      <c r="Q141" t="s">
        <v>69</v>
      </c>
      <c r="R141" t="s">
        <v>28</v>
      </c>
      <c r="S141">
        <v>4</v>
      </c>
    </row>
    <row r="142" spans="1:19">
      <c r="A142" t="s">
        <v>400</v>
      </c>
      <c r="B142" s="2">
        <v>45733</v>
      </c>
      <c r="C142" t="s">
        <v>369</v>
      </c>
      <c r="D142" t="s">
        <v>370</v>
      </c>
      <c r="E142" t="s">
        <v>22</v>
      </c>
      <c r="F142">
        <v>37</v>
      </c>
      <c r="G142" t="s">
        <v>81</v>
      </c>
      <c r="H142" t="s">
        <v>82</v>
      </c>
      <c r="I142" t="s">
        <v>163</v>
      </c>
      <c r="J142" t="s">
        <v>234</v>
      </c>
      <c r="K142">
        <v>4</v>
      </c>
      <c r="L142">
        <v>999</v>
      </c>
      <c r="M142" s="3">
        <v>0.2</v>
      </c>
      <c r="N142">
        <v>3196.8</v>
      </c>
      <c r="O142">
        <v>2400</v>
      </c>
      <c r="P142">
        <v>796.8</v>
      </c>
      <c r="Q142" t="s">
        <v>27</v>
      </c>
      <c r="R142" t="s">
        <v>51</v>
      </c>
      <c r="S142">
        <v>1</v>
      </c>
    </row>
    <row r="143" spans="1:19">
      <c r="A143" t="s">
        <v>401</v>
      </c>
      <c r="B143" s="2">
        <v>46222</v>
      </c>
      <c r="C143" t="s">
        <v>257</v>
      </c>
      <c r="D143" t="s">
        <v>125</v>
      </c>
      <c r="E143" t="s">
        <v>32</v>
      </c>
      <c r="F143">
        <v>52</v>
      </c>
      <c r="G143" t="s">
        <v>33</v>
      </c>
      <c r="H143" t="s">
        <v>34</v>
      </c>
      <c r="I143" t="s">
        <v>35</v>
      </c>
      <c r="J143" t="s">
        <v>136</v>
      </c>
      <c r="K143">
        <v>3</v>
      </c>
      <c r="L143">
        <v>799</v>
      </c>
      <c r="M143" s="3">
        <v>0.05</v>
      </c>
      <c r="N143">
        <v>2277.15</v>
      </c>
      <c r="O143">
        <v>1350</v>
      </c>
      <c r="P143">
        <v>927.15</v>
      </c>
      <c r="Q143" t="s">
        <v>50</v>
      </c>
      <c r="R143" t="s">
        <v>28</v>
      </c>
      <c r="S143">
        <v>2</v>
      </c>
    </row>
    <row r="144" spans="1:19">
      <c r="A144" t="s">
        <v>402</v>
      </c>
      <c r="B144" s="2">
        <v>46188</v>
      </c>
      <c r="C144" t="s">
        <v>267</v>
      </c>
      <c r="D144" t="s">
        <v>268</v>
      </c>
      <c r="E144" t="s">
        <v>22</v>
      </c>
      <c r="F144">
        <v>35</v>
      </c>
      <c r="G144" t="s">
        <v>141</v>
      </c>
      <c r="H144" t="s">
        <v>142</v>
      </c>
      <c r="I144" t="s">
        <v>35</v>
      </c>
      <c r="J144" t="s">
        <v>108</v>
      </c>
      <c r="K144">
        <v>1</v>
      </c>
      <c r="L144">
        <v>699</v>
      </c>
      <c r="M144" s="3">
        <v>0</v>
      </c>
      <c r="N144">
        <v>699</v>
      </c>
      <c r="O144">
        <v>380</v>
      </c>
      <c r="P144">
        <v>319</v>
      </c>
      <c r="Q144" t="s">
        <v>27</v>
      </c>
      <c r="R144" t="s">
        <v>28</v>
      </c>
      <c r="S144">
        <v>2</v>
      </c>
    </row>
    <row r="145" spans="1:19">
      <c r="A145" t="s">
        <v>403</v>
      </c>
      <c r="B145" s="2">
        <v>46189</v>
      </c>
      <c r="C145" t="s">
        <v>110</v>
      </c>
      <c r="D145" t="s">
        <v>111</v>
      </c>
      <c r="E145" t="s">
        <v>22</v>
      </c>
      <c r="F145">
        <v>47</v>
      </c>
      <c r="G145" t="s">
        <v>48</v>
      </c>
      <c r="H145" t="s">
        <v>42</v>
      </c>
      <c r="I145" t="s">
        <v>117</v>
      </c>
      <c r="J145" t="s">
        <v>238</v>
      </c>
      <c r="K145">
        <v>2</v>
      </c>
      <c r="L145">
        <v>2499</v>
      </c>
      <c r="M145" s="3">
        <v>0.1</v>
      </c>
      <c r="N145">
        <v>4498.2</v>
      </c>
      <c r="O145">
        <v>3000</v>
      </c>
      <c r="P145">
        <v>1498.2</v>
      </c>
      <c r="Q145" t="s">
        <v>37</v>
      </c>
      <c r="R145" t="s">
        <v>137</v>
      </c>
      <c r="S145">
        <v>3</v>
      </c>
    </row>
    <row r="146" spans="1:19">
      <c r="A146" t="s">
        <v>404</v>
      </c>
      <c r="B146" s="2">
        <v>45968</v>
      </c>
      <c r="C146" t="s">
        <v>405</v>
      </c>
      <c r="D146" t="s">
        <v>213</v>
      </c>
      <c r="E146" t="s">
        <v>22</v>
      </c>
      <c r="F146">
        <v>28</v>
      </c>
      <c r="G146" t="s">
        <v>60</v>
      </c>
      <c r="H146" t="s">
        <v>61</v>
      </c>
      <c r="I146" t="s">
        <v>75</v>
      </c>
      <c r="J146" t="s">
        <v>76</v>
      </c>
      <c r="K146">
        <v>3</v>
      </c>
      <c r="L146">
        <v>399</v>
      </c>
      <c r="M146" s="3">
        <v>0.05</v>
      </c>
      <c r="N146">
        <v>1137.1500000000001</v>
      </c>
      <c r="O146">
        <v>660</v>
      </c>
      <c r="P146">
        <v>477.15</v>
      </c>
      <c r="Q146" t="s">
        <v>50</v>
      </c>
      <c r="R146" t="s">
        <v>28</v>
      </c>
      <c r="S146">
        <v>5</v>
      </c>
    </row>
    <row r="147" spans="1:19">
      <c r="A147" t="s">
        <v>406</v>
      </c>
      <c r="B147" s="2">
        <v>46003</v>
      </c>
      <c r="C147" t="s">
        <v>407</v>
      </c>
      <c r="D147" t="s">
        <v>408</v>
      </c>
      <c r="E147" t="s">
        <v>32</v>
      </c>
      <c r="F147">
        <v>44</v>
      </c>
      <c r="G147" t="s">
        <v>48</v>
      </c>
      <c r="H147" t="s">
        <v>42</v>
      </c>
      <c r="I147" t="s">
        <v>75</v>
      </c>
      <c r="J147" t="s">
        <v>86</v>
      </c>
      <c r="K147">
        <v>2</v>
      </c>
      <c r="L147">
        <v>499</v>
      </c>
      <c r="M147" s="3">
        <v>0.05</v>
      </c>
      <c r="N147">
        <v>948.1</v>
      </c>
      <c r="O147">
        <v>600</v>
      </c>
      <c r="P147">
        <v>348.1</v>
      </c>
      <c r="Q147" t="s">
        <v>50</v>
      </c>
      <c r="R147" t="s">
        <v>28</v>
      </c>
      <c r="S147">
        <v>1</v>
      </c>
    </row>
    <row r="148" spans="1:19">
      <c r="A148" t="s">
        <v>409</v>
      </c>
      <c r="B148" s="2">
        <v>46243</v>
      </c>
      <c r="C148" t="s">
        <v>295</v>
      </c>
      <c r="D148" t="s">
        <v>296</v>
      </c>
      <c r="E148" t="s">
        <v>22</v>
      </c>
      <c r="F148">
        <v>33</v>
      </c>
      <c r="G148" t="s">
        <v>41</v>
      </c>
      <c r="H148" t="s">
        <v>42</v>
      </c>
      <c r="I148" t="s">
        <v>25</v>
      </c>
      <c r="J148" t="s">
        <v>68</v>
      </c>
      <c r="K148">
        <v>3</v>
      </c>
      <c r="L148">
        <v>2999</v>
      </c>
      <c r="M148" s="3">
        <v>0.05</v>
      </c>
      <c r="N148">
        <v>8547.15</v>
      </c>
      <c r="O148">
        <v>5700</v>
      </c>
      <c r="P148">
        <v>2847.15</v>
      </c>
      <c r="Q148" t="s">
        <v>66</v>
      </c>
      <c r="R148" t="s">
        <v>28</v>
      </c>
      <c r="S148">
        <v>1</v>
      </c>
    </row>
    <row r="149" spans="1:19">
      <c r="A149" t="s">
        <v>410</v>
      </c>
      <c r="B149" s="2">
        <v>46152</v>
      </c>
      <c r="C149" t="s">
        <v>207</v>
      </c>
      <c r="D149" t="s">
        <v>72</v>
      </c>
      <c r="E149" t="s">
        <v>22</v>
      </c>
      <c r="F149">
        <v>48</v>
      </c>
      <c r="G149" t="s">
        <v>180</v>
      </c>
      <c r="H149" t="s">
        <v>181</v>
      </c>
      <c r="I149" t="s">
        <v>75</v>
      </c>
      <c r="J149" t="s">
        <v>76</v>
      </c>
      <c r="K149">
        <v>3</v>
      </c>
      <c r="L149">
        <v>399</v>
      </c>
      <c r="M149" s="3">
        <v>0.1</v>
      </c>
      <c r="N149">
        <v>1077.3</v>
      </c>
      <c r="O149">
        <v>660</v>
      </c>
      <c r="P149">
        <v>417.3</v>
      </c>
      <c r="Q149" t="s">
        <v>27</v>
      </c>
      <c r="R149" t="s">
        <v>137</v>
      </c>
      <c r="S149">
        <v>4</v>
      </c>
    </row>
    <row r="150" spans="1:19">
      <c r="A150" t="s">
        <v>411</v>
      </c>
      <c r="B150" s="2">
        <v>45819</v>
      </c>
      <c r="C150" t="s">
        <v>84</v>
      </c>
      <c r="D150" t="s">
        <v>85</v>
      </c>
      <c r="E150" t="s">
        <v>32</v>
      </c>
      <c r="F150">
        <v>20</v>
      </c>
      <c r="G150" t="s">
        <v>41</v>
      </c>
      <c r="H150" t="s">
        <v>42</v>
      </c>
      <c r="I150" t="s">
        <v>35</v>
      </c>
      <c r="J150" t="s">
        <v>136</v>
      </c>
      <c r="K150">
        <v>1</v>
      </c>
      <c r="L150">
        <v>799</v>
      </c>
      <c r="M150" s="3">
        <v>0</v>
      </c>
      <c r="N150">
        <v>799</v>
      </c>
      <c r="O150">
        <v>450</v>
      </c>
      <c r="P150">
        <v>349</v>
      </c>
      <c r="Q150" t="s">
        <v>66</v>
      </c>
      <c r="R150" t="s">
        <v>28</v>
      </c>
      <c r="S150">
        <v>4</v>
      </c>
    </row>
    <row r="151" spans="1:19">
      <c r="A151" t="s">
        <v>412</v>
      </c>
      <c r="B151" s="2">
        <v>45984</v>
      </c>
      <c r="C151" t="s">
        <v>413</v>
      </c>
      <c r="D151" t="s">
        <v>414</v>
      </c>
      <c r="E151" t="s">
        <v>22</v>
      </c>
      <c r="F151">
        <v>42</v>
      </c>
      <c r="G151" t="s">
        <v>33</v>
      </c>
      <c r="H151" t="s">
        <v>34</v>
      </c>
      <c r="I151" t="s">
        <v>163</v>
      </c>
      <c r="J151" t="s">
        <v>164</v>
      </c>
      <c r="K151">
        <v>2</v>
      </c>
      <c r="L151">
        <v>3499</v>
      </c>
      <c r="M151" s="3">
        <v>0.1</v>
      </c>
      <c r="N151">
        <v>6298.2</v>
      </c>
      <c r="O151">
        <v>4400</v>
      </c>
      <c r="P151">
        <v>1898.2</v>
      </c>
      <c r="Q151" t="s">
        <v>37</v>
      </c>
      <c r="R151" t="s">
        <v>51</v>
      </c>
      <c r="S151">
        <v>2</v>
      </c>
    </row>
    <row r="152" spans="1:19">
      <c r="A152" t="s">
        <v>415</v>
      </c>
      <c r="B152" s="2">
        <v>45905</v>
      </c>
      <c r="C152" t="s">
        <v>30</v>
      </c>
      <c r="D152" t="s">
        <v>31</v>
      </c>
      <c r="E152" t="s">
        <v>32</v>
      </c>
      <c r="F152">
        <v>29</v>
      </c>
      <c r="G152" t="s">
        <v>33</v>
      </c>
      <c r="H152" t="s">
        <v>34</v>
      </c>
      <c r="I152" t="s">
        <v>35</v>
      </c>
      <c r="J152" t="s">
        <v>108</v>
      </c>
      <c r="K152">
        <v>1</v>
      </c>
      <c r="L152">
        <v>699</v>
      </c>
      <c r="M152" s="3">
        <v>0.1</v>
      </c>
      <c r="N152">
        <v>629.1</v>
      </c>
      <c r="O152">
        <v>380</v>
      </c>
      <c r="P152">
        <v>249.1</v>
      </c>
      <c r="Q152" t="s">
        <v>66</v>
      </c>
      <c r="R152" t="s">
        <v>28</v>
      </c>
      <c r="S152">
        <v>4</v>
      </c>
    </row>
    <row r="153" spans="1:19">
      <c r="A153" t="s">
        <v>416</v>
      </c>
      <c r="B153" s="2">
        <v>45955</v>
      </c>
      <c r="C153" t="s">
        <v>79</v>
      </c>
      <c r="D153" t="s">
        <v>80</v>
      </c>
      <c r="E153" t="s">
        <v>22</v>
      </c>
      <c r="F153">
        <v>22</v>
      </c>
      <c r="G153" t="s">
        <v>81</v>
      </c>
      <c r="H153" t="s">
        <v>82</v>
      </c>
      <c r="I153" t="s">
        <v>25</v>
      </c>
      <c r="J153" t="s">
        <v>62</v>
      </c>
      <c r="K153">
        <v>1</v>
      </c>
      <c r="L153">
        <v>1299</v>
      </c>
      <c r="M153" s="3">
        <v>0</v>
      </c>
      <c r="N153">
        <v>1299</v>
      </c>
      <c r="O153">
        <v>800</v>
      </c>
      <c r="P153">
        <v>499</v>
      </c>
      <c r="Q153" t="s">
        <v>66</v>
      </c>
      <c r="R153" t="s">
        <v>137</v>
      </c>
      <c r="S153">
        <v>4</v>
      </c>
    </row>
    <row r="154" spans="1:19">
      <c r="A154" t="s">
        <v>417</v>
      </c>
      <c r="B154" s="2">
        <v>45978</v>
      </c>
      <c r="C154" t="s">
        <v>79</v>
      </c>
      <c r="D154" t="s">
        <v>80</v>
      </c>
      <c r="E154" t="s">
        <v>22</v>
      </c>
      <c r="F154">
        <v>22</v>
      </c>
      <c r="G154" t="s">
        <v>81</v>
      </c>
      <c r="H154" t="s">
        <v>82</v>
      </c>
      <c r="I154" t="s">
        <v>43</v>
      </c>
      <c r="J154" t="s">
        <v>95</v>
      </c>
      <c r="K154">
        <v>3</v>
      </c>
      <c r="L154">
        <v>2499</v>
      </c>
      <c r="M154" s="3">
        <v>0.2</v>
      </c>
      <c r="N154">
        <v>5997.6</v>
      </c>
      <c r="O154">
        <v>4500</v>
      </c>
      <c r="P154">
        <v>1497.6</v>
      </c>
      <c r="Q154" t="s">
        <v>27</v>
      </c>
      <c r="R154" t="s">
        <v>28</v>
      </c>
      <c r="S154">
        <v>4</v>
      </c>
    </row>
    <row r="155" spans="1:19">
      <c r="A155" t="s">
        <v>418</v>
      </c>
      <c r="B155" s="2">
        <v>46167</v>
      </c>
      <c r="C155" t="s">
        <v>365</v>
      </c>
      <c r="D155" t="s">
        <v>366</v>
      </c>
      <c r="E155" t="s">
        <v>22</v>
      </c>
      <c r="F155">
        <v>54</v>
      </c>
      <c r="G155" t="s">
        <v>93</v>
      </c>
      <c r="H155" t="s">
        <v>94</v>
      </c>
      <c r="I155" t="s">
        <v>35</v>
      </c>
      <c r="J155" t="s">
        <v>136</v>
      </c>
      <c r="K155">
        <v>4</v>
      </c>
      <c r="L155">
        <v>799</v>
      </c>
      <c r="M155" s="3">
        <v>0.1</v>
      </c>
      <c r="N155">
        <v>2876.4</v>
      </c>
      <c r="O155">
        <v>1800</v>
      </c>
      <c r="P155">
        <v>1076.4000000000001</v>
      </c>
      <c r="Q155" t="s">
        <v>69</v>
      </c>
      <c r="R155" t="s">
        <v>28</v>
      </c>
      <c r="S155">
        <v>4</v>
      </c>
    </row>
    <row r="156" spans="1:19">
      <c r="A156" t="s">
        <v>419</v>
      </c>
      <c r="B156" s="2">
        <v>46255</v>
      </c>
      <c r="C156" t="s">
        <v>326</v>
      </c>
      <c r="D156" t="s">
        <v>327</v>
      </c>
      <c r="E156" t="s">
        <v>22</v>
      </c>
      <c r="F156">
        <v>33</v>
      </c>
      <c r="G156" t="s">
        <v>141</v>
      </c>
      <c r="H156" t="s">
        <v>142</v>
      </c>
      <c r="I156" t="s">
        <v>35</v>
      </c>
      <c r="J156" t="s">
        <v>136</v>
      </c>
      <c r="K156">
        <v>2</v>
      </c>
      <c r="L156">
        <v>799</v>
      </c>
      <c r="M156" s="3">
        <v>0.05</v>
      </c>
      <c r="N156">
        <v>1518.1</v>
      </c>
      <c r="O156">
        <v>900</v>
      </c>
      <c r="P156">
        <v>618.1</v>
      </c>
      <c r="Q156" t="s">
        <v>37</v>
      </c>
      <c r="R156" t="s">
        <v>28</v>
      </c>
      <c r="S156">
        <v>3</v>
      </c>
    </row>
    <row r="157" spans="1:19">
      <c r="A157" t="s">
        <v>420</v>
      </c>
      <c r="B157" s="2">
        <v>46207</v>
      </c>
      <c r="C157" t="s">
        <v>230</v>
      </c>
      <c r="D157" t="s">
        <v>231</v>
      </c>
      <c r="E157" t="s">
        <v>32</v>
      </c>
      <c r="F157">
        <v>35</v>
      </c>
      <c r="G157" t="s">
        <v>55</v>
      </c>
      <c r="H157" t="s">
        <v>34</v>
      </c>
      <c r="I157" t="s">
        <v>75</v>
      </c>
      <c r="J157" t="s">
        <v>106</v>
      </c>
      <c r="K157">
        <v>4</v>
      </c>
      <c r="L157">
        <v>899</v>
      </c>
      <c r="M157" s="3">
        <v>0.1</v>
      </c>
      <c r="N157">
        <v>3236.4</v>
      </c>
      <c r="O157">
        <v>2400</v>
      </c>
      <c r="P157">
        <v>836.4</v>
      </c>
      <c r="Q157" t="s">
        <v>69</v>
      </c>
      <c r="R157" t="s">
        <v>137</v>
      </c>
      <c r="S157">
        <v>4</v>
      </c>
    </row>
    <row r="158" spans="1:19">
      <c r="A158" t="s">
        <v>421</v>
      </c>
      <c r="B158" s="2">
        <v>46032</v>
      </c>
      <c r="C158" t="s">
        <v>422</v>
      </c>
      <c r="D158" t="s">
        <v>423</v>
      </c>
      <c r="E158" t="s">
        <v>22</v>
      </c>
      <c r="F158">
        <v>26</v>
      </c>
      <c r="G158" t="s">
        <v>141</v>
      </c>
      <c r="H158" t="s">
        <v>142</v>
      </c>
      <c r="I158" t="s">
        <v>43</v>
      </c>
      <c r="J158" t="s">
        <v>197</v>
      </c>
      <c r="K158">
        <v>3</v>
      </c>
      <c r="L158">
        <v>1799</v>
      </c>
      <c r="M158" s="3">
        <v>0.15</v>
      </c>
      <c r="N158">
        <v>4587.45</v>
      </c>
      <c r="O158">
        <v>3150</v>
      </c>
      <c r="P158">
        <v>1437.45</v>
      </c>
      <c r="Q158" t="s">
        <v>69</v>
      </c>
      <c r="R158" t="s">
        <v>28</v>
      </c>
      <c r="S158">
        <v>5</v>
      </c>
    </row>
    <row r="159" spans="1:19">
      <c r="A159" t="s">
        <v>424</v>
      </c>
      <c r="B159" s="2">
        <v>45953</v>
      </c>
      <c r="C159" t="s">
        <v>277</v>
      </c>
      <c r="D159" t="s">
        <v>278</v>
      </c>
      <c r="E159" t="s">
        <v>32</v>
      </c>
      <c r="F159">
        <v>33</v>
      </c>
      <c r="G159" t="s">
        <v>105</v>
      </c>
      <c r="H159" t="s">
        <v>105</v>
      </c>
      <c r="I159" t="s">
        <v>43</v>
      </c>
      <c r="J159" t="s">
        <v>49</v>
      </c>
      <c r="K159">
        <v>3</v>
      </c>
      <c r="L159">
        <v>799</v>
      </c>
      <c r="M159" s="3">
        <v>0.2</v>
      </c>
      <c r="N159">
        <v>1917.6</v>
      </c>
      <c r="O159">
        <v>1350</v>
      </c>
      <c r="P159">
        <v>567.6</v>
      </c>
      <c r="Q159" t="s">
        <v>69</v>
      </c>
      <c r="R159" t="s">
        <v>28</v>
      </c>
      <c r="S159">
        <v>4</v>
      </c>
    </row>
    <row r="160" spans="1:19">
      <c r="A160" t="s">
        <v>425</v>
      </c>
      <c r="B160" s="2">
        <v>45757</v>
      </c>
      <c r="C160" t="s">
        <v>397</v>
      </c>
      <c r="D160" t="s">
        <v>284</v>
      </c>
      <c r="E160" t="s">
        <v>22</v>
      </c>
      <c r="F160">
        <v>51</v>
      </c>
      <c r="G160" t="s">
        <v>33</v>
      </c>
      <c r="H160" t="s">
        <v>34</v>
      </c>
      <c r="I160" t="s">
        <v>43</v>
      </c>
      <c r="J160" t="s">
        <v>197</v>
      </c>
      <c r="K160">
        <v>1</v>
      </c>
      <c r="L160">
        <v>1799</v>
      </c>
      <c r="M160" s="3">
        <v>0.05</v>
      </c>
      <c r="N160">
        <v>1709.05</v>
      </c>
      <c r="O160">
        <v>1050</v>
      </c>
      <c r="P160">
        <v>659.05</v>
      </c>
      <c r="Q160" t="s">
        <v>66</v>
      </c>
      <c r="R160" t="s">
        <v>28</v>
      </c>
      <c r="S160">
        <v>3</v>
      </c>
    </row>
    <row r="161" spans="1:19">
      <c r="A161" t="s">
        <v>426</v>
      </c>
      <c r="B161" s="2">
        <v>46179</v>
      </c>
      <c r="C161" t="s">
        <v>427</v>
      </c>
      <c r="D161" t="s">
        <v>248</v>
      </c>
      <c r="E161" t="s">
        <v>32</v>
      </c>
      <c r="F161">
        <v>33</v>
      </c>
      <c r="G161" t="s">
        <v>41</v>
      </c>
      <c r="H161" t="s">
        <v>42</v>
      </c>
      <c r="I161" t="s">
        <v>163</v>
      </c>
      <c r="J161" t="s">
        <v>214</v>
      </c>
      <c r="K161">
        <v>2</v>
      </c>
      <c r="L161">
        <v>1499</v>
      </c>
      <c r="M161" s="3">
        <v>0.05</v>
      </c>
      <c r="N161">
        <v>2848.1</v>
      </c>
      <c r="O161">
        <v>1800</v>
      </c>
      <c r="P161">
        <v>1048.0999999999999</v>
      </c>
      <c r="Q161" t="s">
        <v>66</v>
      </c>
      <c r="R161" t="s">
        <v>28</v>
      </c>
      <c r="S161">
        <v>1</v>
      </c>
    </row>
    <row r="162" spans="1:19">
      <c r="A162" t="s">
        <v>428</v>
      </c>
      <c r="B162" s="2">
        <v>46189</v>
      </c>
      <c r="C162" t="s">
        <v>321</v>
      </c>
      <c r="D162" t="s">
        <v>322</v>
      </c>
      <c r="E162" t="s">
        <v>22</v>
      </c>
      <c r="F162">
        <v>42</v>
      </c>
      <c r="G162" t="s">
        <v>23</v>
      </c>
      <c r="H162" t="s">
        <v>24</v>
      </c>
      <c r="I162" t="s">
        <v>25</v>
      </c>
      <c r="J162" t="s">
        <v>62</v>
      </c>
      <c r="K162">
        <v>3</v>
      </c>
      <c r="L162">
        <v>1299</v>
      </c>
      <c r="M162" s="3">
        <v>0.15</v>
      </c>
      <c r="N162">
        <v>3312.45</v>
      </c>
      <c r="O162">
        <v>2400</v>
      </c>
      <c r="P162">
        <v>912.45</v>
      </c>
      <c r="Q162" t="s">
        <v>66</v>
      </c>
      <c r="R162" t="s">
        <v>28</v>
      </c>
      <c r="S162">
        <v>5</v>
      </c>
    </row>
    <row r="163" spans="1:19">
      <c r="A163" t="s">
        <v>429</v>
      </c>
      <c r="B163" s="2">
        <v>46060</v>
      </c>
      <c r="C163" t="s">
        <v>359</v>
      </c>
      <c r="D163" t="s">
        <v>360</v>
      </c>
      <c r="E163" t="s">
        <v>32</v>
      </c>
      <c r="F163">
        <v>51</v>
      </c>
      <c r="G163" t="s">
        <v>251</v>
      </c>
      <c r="H163" t="s">
        <v>251</v>
      </c>
      <c r="I163" t="s">
        <v>163</v>
      </c>
      <c r="J163" t="s">
        <v>164</v>
      </c>
      <c r="K163">
        <v>3</v>
      </c>
      <c r="L163">
        <v>3499</v>
      </c>
      <c r="M163" s="3">
        <v>0.05</v>
      </c>
      <c r="N163">
        <v>9972.15</v>
      </c>
      <c r="O163">
        <v>6600</v>
      </c>
      <c r="P163">
        <v>3372.15</v>
      </c>
      <c r="Q163" t="s">
        <v>50</v>
      </c>
      <c r="R163" t="s">
        <v>28</v>
      </c>
      <c r="S163">
        <v>3</v>
      </c>
    </row>
    <row r="164" spans="1:19">
      <c r="A164" t="s">
        <v>430</v>
      </c>
      <c r="B164" s="2">
        <v>45964</v>
      </c>
      <c r="C164" t="s">
        <v>175</v>
      </c>
      <c r="D164" t="s">
        <v>176</v>
      </c>
      <c r="E164" t="s">
        <v>32</v>
      </c>
      <c r="F164">
        <v>29</v>
      </c>
      <c r="G164" t="s">
        <v>60</v>
      </c>
      <c r="H164" t="s">
        <v>61</v>
      </c>
      <c r="I164" t="s">
        <v>35</v>
      </c>
      <c r="J164" t="s">
        <v>108</v>
      </c>
      <c r="K164">
        <v>4</v>
      </c>
      <c r="L164">
        <v>699</v>
      </c>
      <c r="M164" s="3">
        <v>0.2</v>
      </c>
      <c r="N164">
        <v>2236.8000000000002</v>
      </c>
      <c r="O164">
        <v>1520</v>
      </c>
      <c r="P164">
        <v>716.8</v>
      </c>
      <c r="Q164" t="s">
        <v>66</v>
      </c>
      <c r="R164" t="s">
        <v>137</v>
      </c>
      <c r="S164">
        <v>3</v>
      </c>
    </row>
    <row r="165" spans="1:19">
      <c r="A165" t="s">
        <v>431</v>
      </c>
      <c r="B165" s="2">
        <v>46255</v>
      </c>
      <c r="C165" t="s">
        <v>247</v>
      </c>
      <c r="D165" t="s">
        <v>248</v>
      </c>
      <c r="E165" t="s">
        <v>32</v>
      </c>
      <c r="F165">
        <v>35</v>
      </c>
      <c r="G165" t="s">
        <v>33</v>
      </c>
      <c r="H165" t="s">
        <v>34</v>
      </c>
      <c r="I165" t="s">
        <v>117</v>
      </c>
      <c r="J165" t="s">
        <v>118</v>
      </c>
      <c r="K165">
        <v>1</v>
      </c>
      <c r="L165">
        <v>999</v>
      </c>
      <c r="M165" s="3">
        <v>0.15</v>
      </c>
      <c r="N165">
        <v>849.15</v>
      </c>
      <c r="O165">
        <v>550</v>
      </c>
      <c r="P165">
        <v>299.14999999999998</v>
      </c>
      <c r="Q165" t="s">
        <v>37</v>
      </c>
      <c r="R165" t="s">
        <v>137</v>
      </c>
      <c r="S165">
        <v>1</v>
      </c>
    </row>
    <row r="166" spans="1:19">
      <c r="A166" t="s">
        <v>432</v>
      </c>
      <c r="B166" s="2">
        <v>46255</v>
      </c>
      <c r="C166" t="s">
        <v>433</v>
      </c>
      <c r="D166" t="s">
        <v>92</v>
      </c>
      <c r="E166" t="s">
        <v>32</v>
      </c>
      <c r="F166">
        <v>28</v>
      </c>
      <c r="G166" t="s">
        <v>93</v>
      </c>
      <c r="H166" t="s">
        <v>94</v>
      </c>
      <c r="I166" t="s">
        <v>43</v>
      </c>
      <c r="J166" t="s">
        <v>197</v>
      </c>
      <c r="K166">
        <v>2</v>
      </c>
      <c r="L166">
        <v>1799</v>
      </c>
      <c r="M166" s="3">
        <v>0</v>
      </c>
      <c r="N166">
        <v>3598</v>
      </c>
      <c r="O166">
        <v>2100</v>
      </c>
      <c r="P166">
        <v>1498</v>
      </c>
      <c r="Q166" t="s">
        <v>66</v>
      </c>
      <c r="R166" t="s">
        <v>28</v>
      </c>
      <c r="S166">
        <v>5</v>
      </c>
    </row>
    <row r="167" spans="1:19">
      <c r="A167" t="s">
        <v>434</v>
      </c>
      <c r="B167" s="2">
        <v>46244</v>
      </c>
      <c r="C167" t="s">
        <v>192</v>
      </c>
      <c r="D167" t="s">
        <v>193</v>
      </c>
      <c r="E167" t="s">
        <v>32</v>
      </c>
      <c r="F167">
        <v>47</v>
      </c>
      <c r="G167" t="s">
        <v>93</v>
      </c>
      <c r="H167" t="s">
        <v>94</v>
      </c>
      <c r="I167" t="s">
        <v>25</v>
      </c>
      <c r="J167" t="s">
        <v>62</v>
      </c>
      <c r="K167">
        <v>2</v>
      </c>
      <c r="L167">
        <v>1299</v>
      </c>
      <c r="M167" s="3">
        <v>0</v>
      </c>
      <c r="N167">
        <v>2598</v>
      </c>
      <c r="O167">
        <v>1600</v>
      </c>
      <c r="P167">
        <v>998</v>
      </c>
      <c r="Q167" t="s">
        <v>69</v>
      </c>
      <c r="R167" t="s">
        <v>28</v>
      </c>
      <c r="S167">
        <v>4</v>
      </c>
    </row>
    <row r="168" spans="1:19">
      <c r="A168" t="s">
        <v>435</v>
      </c>
      <c r="B168" s="2">
        <v>45866</v>
      </c>
      <c r="C168" t="s">
        <v>436</v>
      </c>
      <c r="D168" t="s">
        <v>437</v>
      </c>
      <c r="E168" t="s">
        <v>32</v>
      </c>
      <c r="F168">
        <v>44</v>
      </c>
      <c r="G168" t="s">
        <v>73</v>
      </c>
      <c r="H168" t="s">
        <v>74</v>
      </c>
      <c r="I168" t="s">
        <v>163</v>
      </c>
      <c r="J168" t="s">
        <v>234</v>
      </c>
      <c r="K168">
        <v>2</v>
      </c>
      <c r="L168">
        <v>999</v>
      </c>
      <c r="M168" s="3">
        <v>0.15</v>
      </c>
      <c r="N168">
        <v>1698.3</v>
      </c>
      <c r="O168">
        <v>1200</v>
      </c>
      <c r="P168">
        <v>498.3</v>
      </c>
      <c r="Q168" t="s">
        <v>66</v>
      </c>
      <c r="R168" t="s">
        <v>28</v>
      </c>
      <c r="S168">
        <v>5</v>
      </c>
    </row>
    <row r="169" spans="1:19">
      <c r="A169" t="s">
        <v>438</v>
      </c>
      <c r="B169" s="2">
        <v>46189</v>
      </c>
      <c r="C169" t="s">
        <v>224</v>
      </c>
      <c r="D169" t="s">
        <v>225</v>
      </c>
      <c r="E169" t="s">
        <v>32</v>
      </c>
      <c r="F169">
        <v>19</v>
      </c>
      <c r="G169" t="s">
        <v>33</v>
      </c>
      <c r="H169" t="s">
        <v>34</v>
      </c>
      <c r="I169" t="s">
        <v>117</v>
      </c>
      <c r="J169" t="s">
        <v>152</v>
      </c>
      <c r="K169">
        <v>1</v>
      </c>
      <c r="L169">
        <v>899</v>
      </c>
      <c r="M169" s="3">
        <v>0.05</v>
      </c>
      <c r="N169">
        <v>854.05</v>
      </c>
      <c r="O169">
        <v>500</v>
      </c>
      <c r="P169">
        <v>354.05</v>
      </c>
      <c r="Q169" t="s">
        <v>27</v>
      </c>
      <c r="R169" t="s">
        <v>28</v>
      </c>
      <c r="S169">
        <v>4</v>
      </c>
    </row>
    <row r="170" spans="1:19">
      <c r="A170" t="s">
        <v>439</v>
      </c>
      <c r="B170" s="2">
        <v>46128</v>
      </c>
      <c r="C170" t="s">
        <v>369</v>
      </c>
      <c r="D170" t="s">
        <v>370</v>
      </c>
      <c r="E170" t="s">
        <v>22</v>
      </c>
      <c r="F170">
        <v>37</v>
      </c>
      <c r="G170" t="s">
        <v>81</v>
      </c>
      <c r="H170" t="s">
        <v>82</v>
      </c>
      <c r="I170" t="s">
        <v>163</v>
      </c>
      <c r="J170" t="s">
        <v>290</v>
      </c>
      <c r="K170">
        <v>3</v>
      </c>
      <c r="L170">
        <v>1999</v>
      </c>
      <c r="M170" s="3">
        <v>0.05</v>
      </c>
      <c r="N170">
        <v>5697.15</v>
      </c>
      <c r="O170">
        <v>3600</v>
      </c>
      <c r="P170">
        <v>2097.15</v>
      </c>
      <c r="Q170" t="s">
        <v>50</v>
      </c>
      <c r="R170" t="s">
        <v>28</v>
      </c>
      <c r="S170">
        <v>3</v>
      </c>
    </row>
    <row r="171" spans="1:19">
      <c r="A171" t="s">
        <v>440</v>
      </c>
      <c r="B171" s="2">
        <v>45910</v>
      </c>
      <c r="C171" t="s">
        <v>393</v>
      </c>
      <c r="D171" t="s">
        <v>394</v>
      </c>
      <c r="E171" t="s">
        <v>22</v>
      </c>
      <c r="F171">
        <v>26</v>
      </c>
      <c r="G171" t="s">
        <v>41</v>
      </c>
      <c r="H171" t="s">
        <v>42</v>
      </c>
      <c r="I171" t="s">
        <v>75</v>
      </c>
      <c r="J171" t="s">
        <v>106</v>
      </c>
      <c r="K171">
        <v>4</v>
      </c>
      <c r="L171">
        <v>899</v>
      </c>
      <c r="M171" s="3">
        <v>0.05</v>
      </c>
      <c r="N171">
        <v>3416.2</v>
      </c>
      <c r="O171">
        <v>2400</v>
      </c>
      <c r="P171">
        <v>1016.2</v>
      </c>
      <c r="Q171" t="s">
        <v>37</v>
      </c>
      <c r="R171" t="s">
        <v>28</v>
      </c>
      <c r="S171">
        <v>2</v>
      </c>
    </row>
    <row r="172" spans="1:19">
      <c r="A172" t="s">
        <v>441</v>
      </c>
      <c r="B172" s="2">
        <v>45982</v>
      </c>
      <c r="C172" t="s">
        <v>84</v>
      </c>
      <c r="D172" t="s">
        <v>85</v>
      </c>
      <c r="E172" t="s">
        <v>32</v>
      </c>
      <c r="F172">
        <v>20</v>
      </c>
      <c r="G172" t="s">
        <v>41</v>
      </c>
      <c r="H172" t="s">
        <v>42</v>
      </c>
      <c r="I172" t="s">
        <v>43</v>
      </c>
      <c r="J172" t="s">
        <v>44</v>
      </c>
      <c r="K172">
        <v>2</v>
      </c>
      <c r="L172">
        <v>1599</v>
      </c>
      <c r="M172" s="3">
        <v>0.15</v>
      </c>
      <c r="N172">
        <v>2718.3</v>
      </c>
      <c r="O172">
        <v>1900</v>
      </c>
      <c r="P172">
        <v>818.3</v>
      </c>
      <c r="Q172" t="s">
        <v>66</v>
      </c>
      <c r="R172" t="s">
        <v>28</v>
      </c>
      <c r="S172">
        <v>3</v>
      </c>
    </row>
    <row r="173" spans="1:19">
      <c r="A173" t="s">
        <v>442</v>
      </c>
      <c r="B173" s="2">
        <v>46011</v>
      </c>
      <c r="C173" t="s">
        <v>134</v>
      </c>
      <c r="D173" t="s">
        <v>135</v>
      </c>
      <c r="E173" t="s">
        <v>32</v>
      </c>
      <c r="F173">
        <v>53</v>
      </c>
      <c r="G173" t="s">
        <v>23</v>
      </c>
      <c r="H173" t="s">
        <v>24</v>
      </c>
      <c r="I173" t="s">
        <v>25</v>
      </c>
      <c r="J173" t="s">
        <v>56</v>
      </c>
      <c r="K173">
        <v>4</v>
      </c>
      <c r="L173">
        <v>899</v>
      </c>
      <c r="M173" s="3">
        <v>0.15</v>
      </c>
      <c r="N173">
        <v>3056.6</v>
      </c>
      <c r="O173">
        <v>2200</v>
      </c>
      <c r="P173">
        <v>856.6</v>
      </c>
      <c r="Q173" t="s">
        <v>27</v>
      </c>
      <c r="R173" t="s">
        <v>28</v>
      </c>
      <c r="S173">
        <v>3</v>
      </c>
    </row>
    <row r="174" spans="1:19">
      <c r="A174" t="s">
        <v>443</v>
      </c>
      <c r="B174" s="2">
        <v>46148</v>
      </c>
      <c r="C174" t="s">
        <v>295</v>
      </c>
      <c r="D174" t="s">
        <v>296</v>
      </c>
      <c r="E174" t="s">
        <v>22</v>
      </c>
      <c r="F174">
        <v>33</v>
      </c>
      <c r="G174" t="s">
        <v>41</v>
      </c>
      <c r="H174" t="s">
        <v>42</v>
      </c>
      <c r="I174" t="s">
        <v>163</v>
      </c>
      <c r="J174" t="s">
        <v>214</v>
      </c>
      <c r="K174">
        <v>4</v>
      </c>
      <c r="L174">
        <v>1499</v>
      </c>
      <c r="M174" s="3">
        <v>0.1</v>
      </c>
      <c r="N174">
        <v>5396.4</v>
      </c>
      <c r="O174">
        <v>3600</v>
      </c>
      <c r="P174">
        <v>1796.4</v>
      </c>
      <c r="Q174" t="s">
        <v>27</v>
      </c>
      <c r="R174" t="s">
        <v>28</v>
      </c>
      <c r="S174">
        <v>5</v>
      </c>
    </row>
    <row r="175" spans="1:19">
      <c r="A175" t="s">
        <v>444</v>
      </c>
      <c r="B175" s="2">
        <v>45769</v>
      </c>
      <c r="C175" t="s">
        <v>39</v>
      </c>
      <c r="D175" t="s">
        <v>40</v>
      </c>
      <c r="E175" t="s">
        <v>22</v>
      </c>
      <c r="F175">
        <v>39</v>
      </c>
      <c r="G175" t="s">
        <v>41</v>
      </c>
      <c r="H175" t="s">
        <v>42</v>
      </c>
      <c r="I175" t="s">
        <v>35</v>
      </c>
      <c r="J175" t="s">
        <v>126</v>
      </c>
      <c r="K175">
        <v>3</v>
      </c>
      <c r="L175">
        <v>1499</v>
      </c>
      <c r="M175" s="3">
        <v>0.05</v>
      </c>
      <c r="N175">
        <v>4272.1499999999996</v>
      </c>
      <c r="O175">
        <v>2550</v>
      </c>
      <c r="P175">
        <v>1722.15</v>
      </c>
      <c r="Q175" t="s">
        <v>50</v>
      </c>
      <c r="R175" t="s">
        <v>28</v>
      </c>
      <c r="S175">
        <v>2</v>
      </c>
    </row>
    <row r="176" spans="1:19">
      <c r="A176" t="s">
        <v>445</v>
      </c>
      <c r="B176" s="2">
        <v>45711</v>
      </c>
      <c r="C176" t="s">
        <v>189</v>
      </c>
      <c r="D176" t="s">
        <v>190</v>
      </c>
      <c r="E176" t="s">
        <v>32</v>
      </c>
      <c r="F176">
        <v>22</v>
      </c>
      <c r="G176" t="s">
        <v>115</v>
      </c>
      <c r="H176" t="s">
        <v>116</v>
      </c>
      <c r="I176" t="s">
        <v>25</v>
      </c>
      <c r="J176" t="s">
        <v>68</v>
      </c>
      <c r="K176">
        <v>2</v>
      </c>
      <c r="L176">
        <v>2999</v>
      </c>
      <c r="M176" s="3">
        <v>0.05</v>
      </c>
      <c r="N176">
        <v>5698.1</v>
      </c>
      <c r="O176">
        <v>3800</v>
      </c>
      <c r="P176">
        <v>1898.1</v>
      </c>
      <c r="Q176" t="s">
        <v>69</v>
      </c>
      <c r="R176" t="s">
        <v>28</v>
      </c>
      <c r="S176">
        <v>4</v>
      </c>
    </row>
    <row r="177" spans="1:19">
      <c r="A177" t="s">
        <v>446</v>
      </c>
      <c r="B177" s="2">
        <v>46221</v>
      </c>
      <c r="C177" t="s">
        <v>240</v>
      </c>
      <c r="D177" t="s">
        <v>241</v>
      </c>
      <c r="E177" t="s">
        <v>32</v>
      </c>
      <c r="F177">
        <v>51</v>
      </c>
      <c r="G177" t="s">
        <v>81</v>
      </c>
      <c r="H177" t="s">
        <v>82</v>
      </c>
      <c r="I177" t="s">
        <v>117</v>
      </c>
      <c r="J177" t="s">
        <v>118</v>
      </c>
      <c r="K177">
        <v>2</v>
      </c>
      <c r="L177">
        <v>999</v>
      </c>
      <c r="M177" s="3">
        <v>0</v>
      </c>
      <c r="N177">
        <v>1998</v>
      </c>
      <c r="O177">
        <v>1100</v>
      </c>
      <c r="P177">
        <v>898</v>
      </c>
      <c r="Q177" t="s">
        <v>27</v>
      </c>
      <c r="R177" t="s">
        <v>28</v>
      </c>
      <c r="S177">
        <v>4</v>
      </c>
    </row>
    <row r="178" spans="1:19">
      <c r="A178" t="s">
        <v>447</v>
      </c>
      <c r="B178" s="2">
        <v>45986</v>
      </c>
      <c r="C178" t="s">
        <v>448</v>
      </c>
      <c r="D178" t="s">
        <v>449</v>
      </c>
      <c r="E178" t="s">
        <v>22</v>
      </c>
      <c r="F178">
        <v>43</v>
      </c>
      <c r="G178" t="s">
        <v>81</v>
      </c>
      <c r="H178" t="s">
        <v>82</v>
      </c>
      <c r="I178" t="s">
        <v>75</v>
      </c>
      <c r="J178" t="s">
        <v>76</v>
      </c>
      <c r="K178">
        <v>2</v>
      </c>
      <c r="L178">
        <v>399</v>
      </c>
      <c r="M178" s="3">
        <v>0.1</v>
      </c>
      <c r="N178">
        <v>718.2</v>
      </c>
      <c r="O178">
        <v>440</v>
      </c>
      <c r="P178">
        <v>278.2</v>
      </c>
      <c r="Q178" t="s">
        <v>37</v>
      </c>
      <c r="R178" t="s">
        <v>28</v>
      </c>
      <c r="S178">
        <v>1</v>
      </c>
    </row>
    <row r="179" spans="1:19">
      <c r="A179" t="s">
        <v>450</v>
      </c>
      <c r="B179" s="2">
        <v>46085</v>
      </c>
      <c r="C179" t="s">
        <v>283</v>
      </c>
      <c r="D179" t="s">
        <v>284</v>
      </c>
      <c r="E179" t="s">
        <v>32</v>
      </c>
      <c r="F179">
        <v>39</v>
      </c>
      <c r="G179" t="s">
        <v>55</v>
      </c>
      <c r="H179" t="s">
        <v>34</v>
      </c>
      <c r="I179" t="s">
        <v>43</v>
      </c>
      <c r="J179" t="s">
        <v>281</v>
      </c>
      <c r="K179">
        <v>1</v>
      </c>
      <c r="L179">
        <v>2999</v>
      </c>
      <c r="M179" s="3">
        <v>0.05</v>
      </c>
      <c r="N179">
        <v>2849.05</v>
      </c>
      <c r="O179">
        <v>1800</v>
      </c>
      <c r="P179">
        <v>1049.05</v>
      </c>
      <c r="Q179" t="s">
        <v>27</v>
      </c>
      <c r="R179" t="s">
        <v>77</v>
      </c>
      <c r="S179">
        <v>1</v>
      </c>
    </row>
    <row r="180" spans="1:19">
      <c r="A180" t="s">
        <v>451</v>
      </c>
      <c r="B180" s="2">
        <v>45696</v>
      </c>
      <c r="C180" t="s">
        <v>220</v>
      </c>
      <c r="D180" t="s">
        <v>221</v>
      </c>
      <c r="E180" t="s">
        <v>22</v>
      </c>
      <c r="F180">
        <v>27</v>
      </c>
      <c r="G180" t="s">
        <v>141</v>
      </c>
      <c r="H180" t="s">
        <v>142</v>
      </c>
      <c r="I180" t="s">
        <v>35</v>
      </c>
      <c r="J180" t="s">
        <v>36</v>
      </c>
      <c r="K180">
        <v>2</v>
      </c>
      <c r="L180">
        <v>599</v>
      </c>
      <c r="M180" s="3">
        <v>0.1</v>
      </c>
      <c r="N180">
        <v>1078.2</v>
      </c>
      <c r="O180">
        <v>640</v>
      </c>
      <c r="P180">
        <v>438.2</v>
      </c>
      <c r="Q180" t="s">
        <v>69</v>
      </c>
      <c r="R180" t="s">
        <v>28</v>
      </c>
      <c r="S180">
        <v>5</v>
      </c>
    </row>
    <row r="181" spans="1:19">
      <c r="A181" t="s">
        <v>452</v>
      </c>
      <c r="B181" s="2">
        <v>46214</v>
      </c>
      <c r="C181" t="s">
        <v>453</v>
      </c>
      <c r="D181" t="s">
        <v>454</v>
      </c>
      <c r="E181" t="s">
        <v>32</v>
      </c>
      <c r="F181">
        <v>25</v>
      </c>
      <c r="G181" t="s">
        <v>141</v>
      </c>
      <c r="H181" t="s">
        <v>142</v>
      </c>
      <c r="I181" t="s">
        <v>163</v>
      </c>
      <c r="J181" t="s">
        <v>164</v>
      </c>
      <c r="K181">
        <v>3</v>
      </c>
      <c r="L181">
        <v>3499</v>
      </c>
      <c r="M181" s="3">
        <v>0.15</v>
      </c>
      <c r="N181">
        <v>8922.4500000000007</v>
      </c>
      <c r="O181">
        <v>6600</v>
      </c>
      <c r="P181">
        <v>2322.4499999999998</v>
      </c>
      <c r="Q181" t="s">
        <v>50</v>
      </c>
      <c r="R181" t="s">
        <v>28</v>
      </c>
      <c r="S181">
        <v>2</v>
      </c>
    </row>
    <row r="182" spans="1:19">
      <c r="A182" t="s">
        <v>455</v>
      </c>
      <c r="B182" s="2">
        <v>45773</v>
      </c>
      <c r="C182" t="s">
        <v>326</v>
      </c>
      <c r="D182" t="s">
        <v>327</v>
      </c>
      <c r="E182" t="s">
        <v>22</v>
      </c>
      <c r="F182">
        <v>33</v>
      </c>
      <c r="G182" t="s">
        <v>141</v>
      </c>
      <c r="H182" t="s">
        <v>142</v>
      </c>
      <c r="I182" t="s">
        <v>35</v>
      </c>
      <c r="J182" t="s">
        <v>136</v>
      </c>
      <c r="K182">
        <v>3</v>
      </c>
      <c r="L182">
        <v>799</v>
      </c>
      <c r="M182" s="3">
        <v>0.05</v>
      </c>
      <c r="N182">
        <v>2277.15</v>
      </c>
      <c r="O182">
        <v>1350</v>
      </c>
      <c r="P182">
        <v>927.15</v>
      </c>
      <c r="Q182" t="s">
        <v>37</v>
      </c>
      <c r="R182" t="s">
        <v>28</v>
      </c>
      <c r="S182">
        <v>4</v>
      </c>
    </row>
    <row r="183" spans="1:19">
      <c r="A183" t="s">
        <v>456</v>
      </c>
      <c r="B183" s="2">
        <v>46003</v>
      </c>
      <c r="C183" t="s">
        <v>273</v>
      </c>
      <c r="D183" t="s">
        <v>274</v>
      </c>
      <c r="E183" t="s">
        <v>22</v>
      </c>
      <c r="F183">
        <v>41</v>
      </c>
      <c r="G183" t="s">
        <v>105</v>
      </c>
      <c r="H183" t="s">
        <v>105</v>
      </c>
      <c r="I183" t="s">
        <v>117</v>
      </c>
      <c r="J183" t="s">
        <v>238</v>
      </c>
      <c r="K183">
        <v>2</v>
      </c>
      <c r="L183">
        <v>2499</v>
      </c>
      <c r="M183" s="3">
        <v>0</v>
      </c>
      <c r="N183">
        <v>4998</v>
      </c>
      <c r="O183">
        <v>3000</v>
      </c>
      <c r="P183">
        <v>1998</v>
      </c>
      <c r="Q183" t="s">
        <v>37</v>
      </c>
      <c r="R183" t="s">
        <v>28</v>
      </c>
      <c r="S183">
        <v>2</v>
      </c>
    </row>
    <row r="184" spans="1:19">
      <c r="A184" t="s">
        <v>457</v>
      </c>
      <c r="B184" s="2">
        <v>46185</v>
      </c>
      <c r="C184" t="s">
        <v>458</v>
      </c>
      <c r="D184" t="s">
        <v>459</v>
      </c>
      <c r="E184" t="s">
        <v>32</v>
      </c>
      <c r="F184">
        <v>40</v>
      </c>
      <c r="G184" t="s">
        <v>60</v>
      </c>
      <c r="H184" t="s">
        <v>61</v>
      </c>
      <c r="I184" t="s">
        <v>75</v>
      </c>
      <c r="J184" t="s">
        <v>106</v>
      </c>
      <c r="K184">
        <v>4</v>
      </c>
      <c r="L184">
        <v>899</v>
      </c>
      <c r="M184" s="3">
        <v>0.15</v>
      </c>
      <c r="N184">
        <v>3056.6</v>
      </c>
      <c r="O184">
        <v>2400</v>
      </c>
      <c r="P184">
        <v>656.6</v>
      </c>
      <c r="Q184" t="s">
        <v>37</v>
      </c>
      <c r="R184" t="s">
        <v>28</v>
      </c>
      <c r="S184">
        <v>1</v>
      </c>
    </row>
    <row r="185" spans="1:19">
      <c r="A185" t="s">
        <v>460</v>
      </c>
      <c r="B185" s="2">
        <v>45912</v>
      </c>
      <c r="C185" t="s">
        <v>46</v>
      </c>
      <c r="D185" t="s">
        <v>47</v>
      </c>
      <c r="E185" t="s">
        <v>32</v>
      </c>
      <c r="F185">
        <v>26</v>
      </c>
      <c r="G185" t="s">
        <v>48</v>
      </c>
      <c r="H185" t="s">
        <v>42</v>
      </c>
      <c r="I185" t="s">
        <v>25</v>
      </c>
      <c r="J185" t="s">
        <v>62</v>
      </c>
      <c r="K185">
        <v>4</v>
      </c>
      <c r="L185">
        <v>1299</v>
      </c>
      <c r="M185" s="3">
        <v>0.1</v>
      </c>
      <c r="N185">
        <v>4676.3999999999996</v>
      </c>
      <c r="O185">
        <v>3200</v>
      </c>
      <c r="P185">
        <v>1476.4</v>
      </c>
      <c r="Q185" t="s">
        <v>69</v>
      </c>
      <c r="R185" t="s">
        <v>28</v>
      </c>
      <c r="S185">
        <v>2</v>
      </c>
    </row>
    <row r="186" spans="1:19">
      <c r="A186" t="s">
        <v>461</v>
      </c>
      <c r="B186" s="2">
        <v>46254</v>
      </c>
      <c r="C186" t="s">
        <v>317</v>
      </c>
      <c r="D186" t="s">
        <v>318</v>
      </c>
      <c r="E186" t="s">
        <v>22</v>
      </c>
      <c r="F186">
        <v>31</v>
      </c>
      <c r="G186" t="s">
        <v>33</v>
      </c>
      <c r="H186" t="s">
        <v>34</v>
      </c>
      <c r="I186" t="s">
        <v>43</v>
      </c>
      <c r="J186" t="s">
        <v>197</v>
      </c>
      <c r="K186">
        <v>3</v>
      </c>
      <c r="L186">
        <v>1799</v>
      </c>
      <c r="M186" s="3">
        <v>0.1</v>
      </c>
      <c r="N186">
        <v>4857.3</v>
      </c>
      <c r="O186">
        <v>3150</v>
      </c>
      <c r="P186">
        <v>1707.3</v>
      </c>
      <c r="Q186" t="s">
        <v>50</v>
      </c>
      <c r="R186" t="s">
        <v>28</v>
      </c>
      <c r="S186">
        <v>3</v>
      </c>
    </row>
    <row r="187" spans="1:19">
      <c r="A187" t="s">
        <v>462</v>
      </c>
      <c r="B187" s="2">
        <v>45972</v>
      </c>
      <c r="C187" t="s">
        <v>463</v>
      </c>
      <c r="D187" t="s">
        <v>391</v>
      </c>
      <c r="E187" t="s">
        <v>32</v>
      </c>
      <c r="F187">
        <v>34</v>
      </c>
      <c r="G187" t="s">
        <v>81</v>
      </c>
      <c r="H187" t="s">
        <v>82</v>
      </c>
      <c r="I187" t="s">
        <v>25</v>
      </c>
      <c r="J187" t="s">
        <v>68</v>
      </c>
      <c r="K187">
        <v>1</v>
      </c>
      <c r="L187">
        <v>2999</v>
      </c>
      <c r="M187" s="3">
        <v>0.15</v>
      </c>
      <c r="N187">
        <v>2549.15</v>
      </c>
      <c r="O187">
        <v>1900</v>
      </c>
      <c r="P187">
        <v>649.15</v>
      </c>
      <c r="Q187" t="s">
        <v>27</v>
      </c>
      <c r="R187" t="s">
        <v>28</v>
      </c>
      <c r="S187">
        <v>5</v>
      </c>
    </row>
    <row r="188" spans="1:19">
      <c r="A188" t="s">
        <v>464</v>
      </c>
      <c r="B188" s="2">
        <v>46034</v>
      </c>
      <c r="C188" t="s">
        <v>139</v>
      </c>
      <c r="D188" t="s">
        <v>140</v>
      </c>
      <c r="E188" t="s">
        <v>22</v>
      </c>
      <c r="F188">
        <v>44</v>
      </c>
      <c r="G188" t="s">
        <v>141</v>
      </c>
      <c r="H188" t="s">
        <v>142</v>
      </c>
      <c r="I188" t="s">
        <v>117</v>
      </c>
      <c r="J188" t="s">
        <v>238</v>
      </c>
      <c r="K188">
        <v>1</v>
      </c>
      <c r="L188">
        <v>2499</v>
      </c>
      <c r="M188" s="3">
        <v>0.1</v>
      </c>
      <c r="N188">
        <v>2249.1</v>
      </c>
      <c r="O188">
        <v>1500</v>
      </c>
      <c r="P188">
        <v>749.1</v>
      </c>
      <c r="Q188" t="s">
        <v>50</v>
      </c>
      <c r="R188" t="s">
        <v>28</v>
      </c>
      <c r="S188">
        <v>2</v>
      </c>
    </row>
    <row r="189" spans="1:19">
      <c r="A189" t="s">
        <v>465</v>
      </c>
      <c r="B189" s="2">
        <v>46040</v>
      </c>
      <c r="C189" t="s">
        <v>448</v>
      </c>
      <c r="D189" t="s">
        <v>449</v>
      </c>
      <c r="E189" t="s">
        <v>22</v>
      </c>
      <c r="F189">
        <v>43</v>
      </c>
      <c r="G189" t="s">
        <v>81</v>
      </c>
      <c r="H189" t="s">
        <v>82</v>
      </c>
      <c r="I189" t="s">
        <v>25</v>
      </c>
      <c r="J189" t="s">
        <v>62</v>
      </c>
      <c r="K189">
        <v>4</v>
      </c>
      <c r="L189">
        <v>1299</v>
      </c>
      <c r="M189" s="3">
        <v>0.2</v>
      </c>
      <c r="N189">
        <v>4156.8</v>
      </c>
      <c r="O189">
        <v>3200</v>
      </c>
      <c r="P189">
        <v>956.8</v>
      </c>
      <c r="Q189" t="s">
        <v>66</v>
      </c>
      <c r="R189" t="s">
        <v>28</v>
      </c>
      <c r="S189">
        <v>4</v>
      </c>
    </row>
    <row r="190" spans="1:19">
      <c r="A190" t="s">
        <v>466</v>
      </c>
      <c r="B190" s="2">
        <v>45741</v>
      </c>
      <c r="C190" t="s">
        <v>467</v>
      </c>
      <c r="D190" t="s">
        <v>322</v>
      </c>
      <c r="E190" t="s">
        <v>32</v>
      </c>
      <c r="F190">
        <v>41</v>
      </c>
      <c r="G190" t="s">
        <v>55</v>
      </c>
      <c r="H190" t="s">
        <v>34</v>
      </c>
      <c r="I190" t="s">
        <v>117</v>
      </c>
      <c r="J190" t="s">
        <v>118</v>
      </c>
      <c r="K190">
        <v>2</v>
      </c>
      <c r="L190">
        <v>999</v>
      </c>
      <c r="M190" s="3">
        <v>0.05</v>
      </c>
      <c r="N190">
        <v>1898.1</v>
      </c>
      <c r="O190">
        <v>1100</v>
      </c>
      <c r="P190">
        <v>798.1</v>
      </c>
      <c r="Q190" t="s">
        <v>50</v>
      </c>
      <c r="R190" t="s">
        <v>28</v>
      </c>
      <c r="S190">
        <v>3</v>
      </c>
    </row>
    <row r="191" spans="1:19">
      <c r="A191" t="s">
        <v>468</v>
      </c>
      <c r="B191" s="2">
        <v>46218</v>
      </c>
      <c r="C191" t="s">
        <v>91</v>
      </c>
      <c r="D191" t="s">
        <v>92</v>
      </c>
      <c r="E191" t="s">
        <v>32</v>
      </c>
      <c r="F191">
        <v>43</v>
      </c>
      <c r="G191" t="s">
        <v>93</v>
      </c>
      <c r="H191" t="s">
        <v>94</v>
      </c>
      <c r="I191" t="s">
        <v>75</v>
      </c>
      <c r="J191" t="s">
        <v>86</v>
      </c>
      <c r="K191">
        <v>1</v>
      </c>
      <c r="L191">
        <v>499</v>
      </c>
      <c r="M191" s="3">
        <v>0</v>
      </c>
      <c r="N191">
        <v>499</v>
      </c>
      <c r="O191">
        <v>300</v>
      </c>
      <c r="P191">
        <v>199</v>
      </c>
      <c r="Q191" t="s">
        <v>50</v>
      </c>
      <c r="R191" t="s">
        <v>28</v>
      </c>
      <c r="S191">
        <v>5</v>
      </c>
    </row>
    <row r="192" spans="1:19">
      <c r="A192" t="s">
        <v>469</v>
      </c>
      <c r="B192" s="2">
        <v>46110</v>
      </c>
      <c r="C192" t="s">
        <v>158</v>
      </c>
      <c r="D192" t="s">
        <v>159</v>
      </c>
      <c r="E192" t="s">
        <v>32</v>
      </c>
      <c r="F192">
        <v>19</v>
      </c>
      <c r="G192" t="s">
        <v>60</v>
      </c>
      <c r="H192" t="s">
        <v>61</v>
      </c>
      <c r="I192" t="s">
        <v>43</v>
      </c>
      <c r="J192" t="s">
        <v>95</v>
      </c>
      <c r="K192">
        <v>3</v>
      </c>
      <c r="L192">
        <v>2499</v>
      </c>
      <c r="M192" s="3">
        <v>0.2</v>
      </c>
      <c r="N192">
        <v>5997.6</v>
      </c>
      <c r="O192">
        <v>4500</v>
      </c>
      <c r="P192">
        <v>1497.6</v>
      </c>
      <c r="Q192" t="s">
        <v>69</v>
      </c>
      <c r="R192" t="s">
        <v>28</v>
      </c>
      <c r="S192">
        <v>5</v>
      </c>
    </row>
    <row r="193" spans="1:19">
      <c r="A193" t="s">
        <v>470</v>
      </c>
      <c r="B193" s="2">
        <v>46122</v>
      </c>
      <c r="C193" t="s">
        <v>64</v>
      </c>
      <c r="D193" t="s">
        <v>65</v>
      </c>
      <c r="E193" t="s">
        <v>32</v>
      </c>
      <c r="F193">
        <v>31</v>
      </c>
      <c r="G193" t="s">
        <v>33</v>
      </c>
      <c r="H193" t="s">
        <v>34</v>
      </c>
      <c r="I193" t="s">
        <v>25</v>
      </c>
      <c r="J193" t="s">
        <v>26</v>
      </c>
      <c r="K193">
        <v>4</v>
      </c>
      <c r="L193">
        <v>2499</v>
      </c>
      <c r="M193" s="3">
        <v>0</v>
      </c>
      <c r="N193">
        <v>9996</v>
      </c>
      <c r="O193">
        <v>6400</v>
      </c>
      <c r="P193">
        <v>3596</v>
      </c>
      <c r="Q193" t="s">
        <v>27</v>
      </c>
      <c r="R193" t="s">
        <v>28</v>
      </c>
      <c r="S193">
        <v>4</v>
      </c>
    </row>
    <row r="194" spans="1:19">
      <c r="A194" t="s">
        <v>471</v>
      </c>
      <c r="B194" s="2">
        <v>45680</v>
      </c>
      <c r="C194" t="s">
        <v>287</v>
      </c>
      <c r="D194" t="s">
        <v>190</v>
      </c>
      <c r="E194" t="s">
        <v>32</v>
      </c>
      <c r="F194">
        <v>39</v>
      </c>
      <c r="G194" t="s">
        <v>81</v>
      </c>
      <c r="H194" t="s">
        <v>82</v>
      </c>
      <c r="I194" t="s">
        <v>25</v>
      </c>
      <c r="J194" t="s">
        <v>68</v>
      </c>
      <c r="K194">
        <v>4</v>
      </c>
      <c r="L194">
        <v>2999</v>
      </c>
      <c r="M194" s="3">
        <v>0.1</v>
      </c>
      <c r="N194">
        <v>10796.4</v>
      </c>
      <c r="O194">
        <v>7600</v>
      </c>
      <c r="P194">
        <v>3196.4</v>
      </c>
      <c r="Q194" t="s">
        <v>66</v>
      </c>
      <c r="R194" t="s">
        <v>28</v>
      </c>
      <c r="S194">
        <v>1</v>
      </c>
    </row>
    <row r="195" spans="1:19">
      <c r="A195" t="s">
        <v>472</v>
      </c>
      <c r="B195" s="2">
        <v>46091</v>
      </c>
      <c r="C195" t="s">
        <v>289</v>
      </c>
      <c r="D195" t="s">
        <v>121</v>
      </c>
      <c r="E195" t="s">
        <v>22</v>
      </c>
      <c r="F195">
        <v>38</v>
      </c>
      <c r="G195" t="s">
        <v>73</v>
      </c>
      <c r="H195" t="s">
        <v>74</v>
      </c>
      <c r="I195" t="s">
        <v>75</v>
      </c>
      <c r="J195" t="s">
        <v>86</v>
      </c>
      <c r="K195">
        <v>1</v>
      </c>
      <c r="L195">
        <v>499</v>
      </c>
      <c r="M195" s="3">
        <v>0</v>
      </c>
      <c r="N195">
        <v>499</v>
      </c>
      <c r="O195">
        <v>300</v>
      </c>
      <c r="P195">
        <v>199</v>
      </c>
      <c r="Q195" t="s">
        <v>37</v>
      </c>
      <c r="R195" t="s">
        <v>28</v>
      </c>
      <c r="S195">
        <v>5</v>
      </c>
    </row>
    <row r="196" spans="1:19">
      <c r="A196" t="s">
        <v>473</v>
      </c>
      <c r="B196" s="2">
        <v>45951</v>
      </c>
      <c r="C196" t="s">
        <v>259</v>
      </c>
      <c r="D196" t="s">
        <v>125</v>
      </c>
      <c r="E196" t="s">
        <v>22</v>
      </c>
      <c r="F196">
        <v>28</v>
      </c>
      <c r="G196" t="s">
        <v>23</v>
      </c>
      <c r="H196" t="s">
        <v>24</v>
      </c>
      <c r="I196" t="s">
        <v>25</v>
      </c>
      <c r="J196" t="s">
        <v>26</v>
      </c>
      <c r="K196">
        <v>4</v>
      </c>
      <c r="L196">
        <v>2499</v>
      </c>
      <c r="M196" s="3">
        <v>0</v>
      </c>
      <c r="N196">
        <v>9996</v>
      </c>
      <c r="O196">
        <v>6400</v>
      </c>
      <c r="P196">
        <v>3596</v>
      </c>
      <c r="Q196" t="s">
        <v>66</v>
      </c>
      <c r="R196" t="s">
        <v>28</v>
      </c>
      <c r="S196">
        <v>2</v>
      </c>
    </row>
    <row r="197" spans="1:19">
      <c r="A197" t="s">
        <v>474</v>
      </c>
      <c r="B197" s="2">
        <v>46044</v>
      </c>
      <c r="C197" t="s">
        <v>475</v>
      </c>
      <c r="D197" t="s">
        <v>476</v>
      </c>
      <c r="E197" t="s">
        <v>32</v>
      </c>
      <c r="F197">
        <v>51</v>
      </c>
      <c r="G197" t="s">
        <v>141</v>
      </c>
      <c r="H197" t="s">
        <v>142</v>
      </c>
      <c r="I197" t="s">
        <v>163</v>
      </c>
      <c r="J197" t="s">
        <v>214</v>
      </c>
      <c r="K197">
        <v>4</v>
      </c>
      <c r="L197">
        <v>1499</v>
      </c>
      <c r="M197" s="3">
        <v>0.15</v>
      </c>
      <c r="N197">
        <v>5096.6000000000004</v>
      </c>
      <c r="O197">
        <v>3600</v>
      </c>
      <c r="P197">
        <v>1496.6</v>
      </c>
      <c r="Q197" t="s">
        <v>66</v>
      </c>
      <c r="R197" t="s">
        <v>28</v>
      </c>
      <c r="S197">
        <v>5</v>
      </c>
    </row>
    <row r="198" spans="1:19">
      <c r="A198" t="s">
        <v>477</v>
      </c>
      <c r="B198" s="2">
        <v>45840</v>
      </c>
      <c r="C198" t="s">
        <v>422</v>
      </c>
      <c r="D198" t="s">
        <v>423</v>
      </c>
      <c r="E198" t="s">
        <v>22</v>
      </c>
      <c r="F198">
        <v>26</v>
      </c>
      <c r="G198" t="s">
        <v>141</v>
      </c>
      <c r="H198" t="s">
        <v>142</v>
      </c>
      <c r="I198" t="s">
        <v>75</v>
      </c>
      <c r="J198" t="s">
        <v>76</v>
      </c>
      <c r="K198">
        <v>3</v>
      </c>
      <c r="L198">
        <v>399</v>
      </c>
      <c r="M198" s="3">
        <v>0</v>
      </c>
      <c r="N198">
        <v>1197</v>
      </c>
      <c r="O198">
        <v>660</v>
      </c>
      <c r="P198">
        <v>537</v>
      </c>
      <c r="Q198" t="s">
        <v>50</v>
      </c>
      <c r="R198" t="s">
        <v>28</v>
      </c>
      <c r="S198">
        <v>2</v>
      </c>
    </row>
    <row r="199" spans="1:19">
      <c r="A199" t="s">
        <v>478</v>
      </c>
      <c r="B199" s="2">
        <v>46132</v>
      </c>
      <c r="C199" t="s">
        <v>479</v>
      </c>
      <c r="D199" t="s">
        <v>480</v>
      </c>
      <c r="E199" t="s">
        <v>22</v>
      </c>
      <c r="F199">
        <v>29</v>
      </c>
      <c r="G199" t="s">
        <v>146</v>
      </c>
      <c r="H199" t="s">
        <v>61</v>
      </c>
      <c r="I199" t="s">
        <v>25</v>
      </c>
      <c r="J199" t="s">
        <v>156</v>
      </c>
      <c r="K199">
        <v>1</v>
      </c>
      <c r="L199">
        <v>1999</v>
      </c>
      <c r="M199" s="3">
        <v>0.1</v>
      </c>
      <c r="N199">
        <v>1799.1</v>
      </c>
      <c r="O199">
        <v>1300</v>
      </c>
      <c r="P199">
        <v>499.1</v>
      </c>
      <c r="Q199" t="s">
        <v>50</v>
      </c>
      <c r="R199" t="s">
        <v>28</v>
      </c>
      <c r="S199">
        <v>4</v>
      </c>
    </row>
    <row r="200" spans="1:19">
      <c r="A200" t="s">
        <v>481</v>
      </c>
      <c r="B200" s="2">
        <v>45816</v>
      </c>
      <c r="C200" t="s">
        <v>183</v>
      </c>
      <c r="D200" t="s">
        <v>184</v>
      </c>
      <c r="E200" t="s">
        <v>22</v>
      </c>
      <c r="F200">
        <v>43</v>
      </c>
      <c r="G200" t="s">
        <v>60</v>
      </c>
      <c r="H200" t="s">
        <v>61</v>
      </c>
      <c r="I200" t="s">
        <v>43</v>
      </c>
      <c r="J200" t="s">
        <v>281</v>
      </c>
      <c r="K200">
        <v>4</v>
      </c>
      <c r="L200">
        <v>2999</v>
      </c>
      <c r="M200" s="3">
        <v>0.1</v>
      </c>
      <c r="N200">
        <v>10796.4</v>
      </c>
      <c r="O200">
        <v>7200</v>
      </c>
      <c r="P200">
        <v>3596.4</v>
      </c>
      <c r="Q200" t="s">
        <v>37</v>
      </c>
      <c r="R200" t="s">
        <v>28</v>
      </c>
      <c r="S200">
        <v>1</v>
      </c>
    </row>
    <row r="201" spans="1:19">
      <c r="A201" t="s">
        <v>482</v>
      </c>
      <c r="B201" s="2">
        <v>45674</v>
      </c>
      <c r="C201" t="s">
        <v>236</v>
      </c>
      <c r="D201" t="s">
        <v>237</v>
      </c>
      <c r="E201" t="s">
        <v>32</v>
      </c>
      <c r="F201">
        <v>34</v>
      </c>
      <c r="G201" t="s">
        <v>180</v>
      </c>
      <c r="H201" t="s">
        <v>181</v>
      </c>
      <c r="I201" t="s">
        <v>117</v>
      </c>
      <c r="J201" t="s">
        <v>118</v>
      </c>
      <c r="K201">
        <v>4</v>
      </c>
      <c r="L201">
        <v>999</v>
      </c>
      <c r="M201" s="3">
        <v>0.2</v>
      </c>
      <c r="N201">
        <v>3196.8</v>
      </c>
      <c r="O201">
        <v>2200</v>
      </c>
      <c r="P201">
        <v>996.8</v>
      </c>
      <c r="Q201" t="s">
        <v>27</v>
      </c>
      <c r="R201" t="s">
        <v>28</v>
      </c>
      <c r="S201">
        <v>1</v>
      </c>
    </row>
    <row r="202" spans="1:19">
      <c r="A202" t="s">
        <v>483</v>
      </c>
      <c r="B202" s="2">
        <v>45703</v>
      </c>
      <c r="C202" t="s">
        <v>236</v>
      </c>
      <c r="D202" t="s">
        <v>237</v>
      </c>
      <c r="E202" t="s">
        <v>32</v>
      </c>
      <c r="F202">
        <v>34</v>
      </c>
      <c r="G202" t="s">
        <v>180</v>
      </c>
      <c r="H202" t="s">
        <v>181</v>
      </c>
      <c r="I202" t="s">
        <v>35</v>
      </c>
      <c r="J202" t="s">
        <v>136</v>
      </c>
      <c r="K202">
        <v>1</v>
      </c>
      <c r="L202">
        <v>799</v>
      </c>
      <c r="M202" s="3">
        <v>0.05</v>
      </c>
      <c r="N202">
        <v>759.05</v>
      </c>
      <c r="O202">
        <v>450</v>
      </c>
      <c r="P202">
        <v>309.05</v>
      </c>
      <c r="Q202" t="s">
        <v>66</v>
      </c>
      <c r="R202" t="s">
        <v>28</v>
      </c>
      <c r="S202">
        <v>5</v>
      </c>
    </row>
    <row r="203" spans="1:19">
      <c r="A203" t="s">
        <v>484</v>
      </c>
      <c r="B203" s="2">
        <v>45954</v>
      </c>
      <c r="C203" t="s">
        <v>289</v>
      </c>
      <c r="D203" t="s">
        <v>121</v>
      </c>
      <c r="E203" t="s">
        <v>22</v>
      </c>
      <c r="F203">
        <v>38</v>
      </c>
      <c r="G203" t="s">
        <v>73</v>
      </c>
      <c r="H203" t="s">
        <v>74</v>
      </c>
      <c r="I203" t="s">
        <v>25</v>
      </c>
      <c r="J203" t="s">
        <v>68</v>
      </c>
      <c r="K203">
        <v>2</v>
      </c>
      <c r="L203">
        <v>2999</v>
      </c>
      <c r="M203" s="3">
        <v>0.2</v>
      </c>
      <c r="N203">
        <v>4798.3999999999996</v>
      </c>
      <c r="O203">
        <v>3800</v>
      </c>
      <c r="P203">
        <v>998.4</v>
      </c>
      <c r="Q203" t="s">
        <v>27</v>
      </c>
      <c r="R203" t="s">
        <v>137</v>
      </c>
      <c r="S203">
        <v>3</v>
      </c>
    </row>
    <row r="204" spans="1:19">
      <c r="A204" t="s">
        <v>485</v>
      </c>
      <c r="B204" s="2">
        <v>45967</v>
      </c>
      <c r="C204" t="s">
        <v>71</v>
      </c>
      <c r="D204" t="s">
        <v>72</v>
      </c>
      <c r="E204" t="s">
        <v>32</v>
      </c>
      <c r="F204">
        <v>53</v>
      </c>
      <c r="G204" t="s">
        <v>73</v>
      </c>
      <c r="H204" t="s">
        <v>74</v>
      </c>
      <c r="I204" t="s">
        <v>75</v>
      </c>
      <c r="J204" t="s">
        <v>106</v>
      </c>
      <c r="K204">
        <v>3</v>
      </c>
      <c r="L204">
        <v>899</v>
      </c>
      <c r="M204" s="3">
        <v>0.05</v>
      </c>
      <c r="N204">
        <v>2562.15</v>
      </c>
      <c r="O204">
        <v>1800</v>
      </c>
      <c r="P204">
        <v>762.15</v>
      </c>
      <c r="Q204" t="s">
        <v>27</v>
      </c>
      <c r="R204" t="s">
        <v>51</v>
      </c>
      <c r="S204">
        <v>5</v>
      </c>
    </row>
    <row r="205" spans="1:19">
      <c r="A205" t="s">
        <v>486</v>
      </c>
      <c r="B205" s="2">
        <v>45720</v>
      </c>
      <c r="C205" t="s">
        <v>310</v>
      </c>
      <c r="D205" t="s">
        <v>311</v>
      </c>
      <c r="E205" t="s">
        <v>32</v>
      </c>
      <c r="F205">
        <v>50</v>
      </c>
      <c r="G205" t="s">
        <v>81</v>
      </c>
      <c r="H205" t="s">
        <v>82</v>
      </c>
      <c r="I205" t="s">
        <v>163</v>
      </c>
      <c r="J205" t="s">
        <v>234</v>
      </c>
      <c r="K205">
        <v>3</v>
      </c>
      <c r="L205">
        <v>999</v>
      </c>
      <c r="M205" s="3">
        <v>0.1</v>
      </c>
      <c r="N205">
        <v>2697.3</v>
      </c>
      <c r="O205">
        <v>1800</v>
      </c>
      <c r="P205">
        <v>897.3</v>
      </c>
      <c r="Q205" t="s">
        <v>50</v>
      </c>
      <c r="R205" t="s">
        <v>77</v>
      </c>
      <c r="S205">
        <v>2</v>
      </c>
    </row>
    <row r="206" spans="1:19">
      <c r="A206" t="s">
        <v>487</v>
      </c>
      <c r="B206" s="2">
        <v>46010</v>
      </c>
      <c r="C206" t="s">
        <v>488</v>
      </c>
      <c r="D206" t="s">
        <v>489</v>
      </c>
      <c r="E206" t="s">
        <v>22</v>
      </c>
      <c r="F206">
        <v>48</v>
      </c>
      <c r="G206" t="s">
        <v>115</v>
      </c>
      <c r="H206" t="s">
        <v>116</v>
      </c>
      <c r="I206" t="s">
        <v>35</v>
      </c>
      <c r="J206" t="s">
        <v>126</v>
      </c>
      <c r="K206">
        <v>4</v>
      </c>
      <c r="L206">
        <v>1499</v>
      </c>
      <c r="M206" s="3">
        <v>0</v>
      </c>
      <c r="N206">
        <v>5996</v>
      </c>
      <c r="O206">
        <v>3400</v>
      </c>
      <c r="P206">
        <v>2596</v>
      </c>
      <c r="Q206" t="s">
        <v>66</v>
      </c>
      <c r="R206" t="s">
        <v>137</v>
      </c>
      <c r="S206">
        <v>3</v>
      </c>
    </row>
    <row r="207" spans="1:19">
      <c r="A207" t="s">
        <v>490</v>
      </c>
      <c r="B207" s="2">
        <v>46043</v>
      </c>
      <c r="C207" t="s">
        <v>491</v>
      </c>
      <c r="D207" t="s">
        <v>92</v>
      </c>
      <c r="E207" t="s">
        <v>22</v>
      </c>
      <c r="F207">
        <v>25</v>
      </c>
      <c r="G207" t="s">
        <v>23</v>
      </c>
      <c r="H207" t="s">
        <v>24</v>
      </c>
      <c r="I207" t="s">
        <v>163</v>
      </c>
      <c r="J207" t="s">
        <v>234</v>
      </c>
      <c r="K207">
        <v>2</v>
      </c>
      <c r="L207">
        <v>999</v>
      </c>
      <c r="M207" s="3">
        <v>0.1</v>
      </c>
      <c r="N207">
        <v>1798.2</v>
      </c>
      <c r="O207">
        <v>1200</v>
      </c>
      <c r="P207">
        <v>598.20000000000005</v>
      </c>
      <c r="Q207" t="s">
        <v>27</v>
      </c>
      <c r="R207" t="s">
        <v>28</v>
      </c>
      <c r="S207">
        <v>4</v>
      </c>
    </row>
    <row r="208" spans="1:19">
      <c r="A208" t="s">
        <v>492</v>
      </c>
      <c r="B208" s="2">
        <v>46132</v>
      </c>
      <c r="C208" t="s">
        <v>363</v>
      </c>
      <c r="D208" t="s">
        <v>155</v>
      </c>
      <c r="E208" t="s">
        <v>32</v>
      </c>
      <c r="F208">
        <v>43</v>
      </c>
      <c r="G208" t="s">
        <v>48</v>
      </c>
      <c r="H208" t="s">
        <v>42</v>
      </c>
      <c r="I208" t="s">
        <v>43</v>
      </c>
      <c r="J208" t="s">
        <v>281</v>
      </c>
      <c r="K208">
        <v>3</v>
      </c>
      <c r="L208">
        <v>2999</v>
      </c>
      <c r="M208" s="3">
        <v>0.05</v>
      </c>
      <c r="N208">
        <v>8547.15</v>
      </c>
      <c r="O208">
        <v>5400</v>
      </c>
      <c r="P208">
        <v>3147.15</v>
      </c>
      <c r="Q208" t="s">
        <v>69</v>
      </c>
      <c r="R208" t="s">
        <v>28</v>
      </c>
      <c r="S208">
        <v>4</v>
      </c>
    </row>
    <row r="209" spans="1:19">
      <c r="A209" t="s">
        <v>493</v>
      </c>
      <c r="B209" s="2">
        <v>45906</v>
      </c>
      <c r="C209" t="s">
        <v>427</v>
      </c>
      <c r="D209" t="s">
        <v>248</v>
      </c>
      <c r="E209" t="s">
        <v>32</v>
      </c>
      <c r="F209">
        <v>33</v>
      </c>
      <c r="G209" t="s">
        <v>41</v>
      </c>
      <c r="H209" t="s">
        <v>42</v>
      </c>
      <c r="I209" t="s">
        <v>35</v>
      </c>
      <c r="J209" t="s">
        <v>108</v>
      </c>
      <c r="K209">
        <v>2</v>
      </c>
      <c r="L209">
        <v>699</v>
      </c>
      <c r="M209" s="3">
        <v>0.15</v>
      </c>
      <c r="N209">
        <v>1188.3</v>
      </c>
      <c r="O209">
        <v>760</v>
      </c>
      <c r="P209">
        <v>428.3</v>
      </c>
      <c r="Q209" t="s">
        <v>37</v>
      </c>
      <c r="R209" t="s">
        <v>28</v>
      </c>
      <c r="S209">
        <v>1</v>
      </c>
    </row>
    <row r="210" spans="1:19">
      <c r="A210" t="s">
        <v>494</v>
      </c>
      <c r="B210" s="2">
        <v>45853</v>
      </c>
      <c r="C210" t="s">
        <v>257</v>
      </c>
      <c r="D210" t="s">
        <v>125</v>
      </c>
      <c r="E210" t="s">
        <v>32</v>
      </c>
      <c r="F210">
        <v>52</v>
      </c>
      <c r="G210" t="s">
        <v>33</v>
      </c>
      <c r="H210" t="s">
        <v>34</v>
      </c>
      <c r="I210" t="s">
        <v>163</v>
      </c>
      <c r="J210" t="s">
        <v>214</v>
      </c>
      <c r="K210">
        <v>1</v>
      </c>
      <c r="L210">
        <v>1499</v>
      </c>
      <c r="M210" s="3">
        <v>0.2</v>
      </c>
      <c r="N210">
        <v>1199.2</v>
      </c>
      <c r="O210">
        <v>900</v>
      </c>
      <c r="P210">
        <v>299.2</v>
      </c>
      <c r="Q210" t="s">
        <v>69</v>
      </c>
      <c r="R210" t="s">
        <v>28</v>
      </c>
      <c r="S210">
        <v>5</v>
      </c>
    </row>
    <row r="211" spans="1:19">
      <c r="A211" t="s">
        <v>495</v>
      </c>
      <c r="B211" s="2">
        <v>46230</v>
      </c>
      <c r="C211" t="s">
        <v>496</v>
      </c>
      <c r="D211" t="s">
        <v>408</v>
      </c>
      <c r="E211" t="s">
        <v>32</v>
      </c>
      <c r="F211">
        <v>54</v>
      </c>
      <c r="G211" t="s">
        <v>41</v>
      </c>
      <c r="H211" t="s">
        <v>42</v>
      </c>
      <c r="I211" t="s">
        <v>25</v>
      </c>
      <c r="J211" t="s">
        <v>26</v>
      </c>
      <c r="K211">
        <v>2</v>
      </c>
      <c r="L211">
        <v>2499</v>
      </c>
      <c r="M211" s="3">
        <v>0.2</v>
      </c>
      <c r="N211">
        <v>3998.4</v>
      </c>
      <c r="O211">
        <v>3200</v>
      </c>
      <c r="P211">
        <v>798.4</v>
      </c>
      <c r="Q211" t="s">
        <v>27</v>
      </c>
      <c r="R211" t="s">
        <v>28</v>
      </c>
      <c r="S211">
        <v>3</v>
      </c>
    </row>
    <row r="212" spans="1:19">
      <c r="A212" t="s">
        <v>497</v>
      </c>
      <c r="B212" s="2">
        <v>45778</v>
      </c>
      <c r="C212" t="s">
        <v>227</v>
      </c>
      <c r="D212" t="s">
        <v>228</v>
      </c>
      <c r="E212" t="s">
        <v>22</v>
      </c>
      <c r="F212">
        <v>24</v>
      </c>
      <c r="G212" t="s">
        <v>93</v>
      </c>
      <c r="H212" t="s">
        <v>94</v>
      </c>
      <c r="I212" t="s">
        <v>25</v>
      </c>
      <c r="J212" t="s">
        <v>156</v>
      </c>
      <c r="K212">
        <v>2</v>
      </c>
      <c r="L212">
        <v>1999</v>
      </c>
      <c r="M212" s="3">
        <v>0.05</v>
      </c>
      <c r="N212">
        <v>3798.1</v>
      </c>
      <c r="O212">
        <v>2600</v>
      </c>
      <c r="P212">
        <v>1198.0999999999999</v>
      </c>
      <c r="Q212" t="s">
        <v>66</v>
      </c>
      <c r="R212" t="s">
        <v>77</v>
      </c>
      <c r="S212">
        <v>2</v>
      </c>
    </row>
    <row r="213" spans="1:19">
      <c r="A213" t="s">
        <v>498</v>
      </c>
      <c r="B213" s="2">
        <v>46047</v>
      </c>
      <c r="C213" t="s">
        <v>220</v>
      </c>
      <c r="D213" t="s">
        <v>221</v>
      </c>
      <c r="E213" t="s">
        <v>22</v>
      </c>
      <c r="F213">
        <v>27</v>
      </c>
      <c r="G213" t="s">
        <v>141</v>
      </c>
      <c r="H213" t="s">
        <v>142</v>
      </c>
      <c r="I213" t="s">
        <v>43</v>
      </c>
      <c r="J213" t="s">
        <v>281</v>
      </c>
      <c r="K213">
        <v>3</v>
      </c>
      <c r="L213">
        <v>2999</v>
      </c>
      <c r="M213" s="3">
        <v>0.1</v>
      </c>
      <c r="N213">
        <v>8097.3</v>
      </c>
      <c r="O213">
        <v>5400</v>
      </c>
      <c r="P213">
        <v>2697.3</v>
      </c>
      <c r="Q213" t="s">
        <v>66</v>
      </c>
      <c r="R213" t="s">
        <v>28</v>
      </c>
      <c r="S213">
        <v>3</v>
      </c>
    </row>
    <row r="214" spans="1:19">
      <c r="A214" t="s">
        <v>499</v>
      </c>
      <c r="B214" s="2">
        <v>46167</v>
      </c>
      <c r="C214" t="s">
        <v>103</v>
      </c>
      <c r="D214" t="s">
        <v>104</v>
      </c>
      <c r="E214" t="s">
        <v>32</v>
      </c>
      <c r="F214">
        <v>27</v>
      </c>
      <c r="G214" t="s">
        <v>105</v>
      </c>
      <c r="H214" t="s">
        <v>105</v>
      </c>
      <c r="I214" t="s">
        <v>43</v>
      </c>
      <c r="J214" t="s">
        <v>197</v>
      </c>
      <c r="K214">
        <v>3</v>
      </c>
      <c r="L214">
        <v>1799</v>
      </c>
      <c r="M214" s="3">
        <v>0.2</v>
      </c>
      <c r="N214">
        <v>4317.6000000000004</v>
      </c>
      <c r="O214">
        <v>3150</v>
      </c>
      <c r="P214">
        <v>1167.5999999999999</v>
      </c>
      <c r="Q214" t="s">
        <v>66</v>
      </c>
      <c r="R214" t="s">
        <v>28</v>
      </c>
      <c r="S214">
        <v>4</v>
      </c>
    </row>
    <row r="215" spans="1:19">
      <c r="A215" t="s">
        <v>500</v>
      </c>
      <c r="B215" s="2">
        <v>46081</v>
      </c>
      <c r="C215" t="s">
        <v>357</v>
      </c>
      <c r="D215" t="s">
        <v>237</v>
      </c>
      <c r="E215" t="s">
        <v>22</v>
      </c>
      <c r="F215">
        <v>42</v>
      </c>
      <c r="G215" t="s">
        <v>251</v>
      </c>
      <c r="H215" t="s">
        <v>251</v>
      </c>
      <c r="I215" t="s">
        <v>43</v>
      </c>
      <c r="J215" t="s">
        <v>49</v>
      </c>
      <c r="K215">
        <v>3</v>
      </c>
      <c r="L215">
        <v>799</v>
      </c>
      <c r="M215" s="3">
        <v>0.1</v>
      </c>
      <c r="N215">
        <v>2157.3000000000002</v>
      </c>
      <c r="O215">
        <v>1350</v>
      </c>
      <c r="P215">
        <v>807.3</v>
      </c>
      <c r="Q215" t="s">
        <v>69</v>
      </c>
      <c r="R215" t="s">
        <v>28</v>
      </c>
      <c r="S215">
        <v>2</v>
      </c>
    </row>
    <row r="216" spans="1:19">
      <c r="A216" t="s">
        <v>501</v>
      </c>
      <c r="B216" s="2">
        <v>46256</v>
      </c>
      <c r="C216" t="s">
        <v>354</v>
      </c>
      <c r="D216" t="s">
        <v>339</v>
      </c>
      <c r="E216" t="s">
        <v>32</v>
      </c>
      <c r="F216">
        <v>25</v>
      </c>
      <c r="G216" t="s">
        <v>115</v>
      </c>
      <c r="H216" t="s">
        <v>116</v>
      </c>
      <c r="I216" t="s">
        <v>25</v>
      </c>
      <c r="J216" t="s">
        <v>156</v>
      </c>
      <c r="K216">
        <v>3</v>
      </c>
      <c r="L216">
        <v>1999</v>
      </c>
      <c r="M216" s="3">
        <v>0.2</v>
      </c>
      <c r="N216">
        <v>4797.6000000000004</v>
      </c>
      <c r="O216">
        <v>3900</v>
      </c>
      <c r="P216">
        <v>897.6</v>
      </c>
      <c r="Q216" t="s">
        <v>50</v>
      </c>
      <c r="R216" t="s">
        <v>28</v>
      </c>
      <c r="S216">
        <v>3</v>
      </c>
    </row>
    <row r="217" spans="1:19">
      <c r="A217" t="s">
        <v>502</v>
      </c>
      <c r="B217" s="2">
        <v>46046</v>
      </c>
      <c r="C217" t="s">
        <v>315</v>
      </c>
      <c r="D217" t="s">
        <v>305</v>
      </c>
      <c r="E217" t="s">
        <v>22</v>
      </c>
      <c r="F217">
        <v>18</v>
      </c>
      <c r="G217" t="s">
        <v>48</v>
      </c>
      <c r="H217" t="s">
        <v>42</v>
      </c>
      <c r="I217" t="s">
        <v>43</v>
      </c>
      <c r="J217" t="s">
        <v>49</v>
      </c>
      <c r="K217">
        <v>3</v>
      </c>
      <c r="L217">
        <v>799</v>
      </c>
      <c r="M217" s="3">
        <v>0.05</v>
      </c>
      <c r="N217">
        <v>2277.15</v>
      </c>
      <c r="O217">
        <v>1350</v>
      </c>
      <c r="P217">
        <v>927.15</v>
      </c>
      <c r="Q217" t="s">
        <v>50</v>
      </c>
      <c r="R217" t="s">
        <v>137</v>
      </c>
      <c r="S217">
        <v>4</v>
      </c>
    </row>
    <row r="218" spans="1:19">
      <c r="A218" t="s">
        <v>503</v>
      </c>
      <c r="B218" s="2">
        <v>46158</v>
      </c>
      <c r="C218" t="s">
        <v>397</v>
      </c>
      <c r="D218" t="s">
        <v>284</v>
      </c>
      <c r="E218" t="s">
        <v>22</v>
      </c>
      <c r="F218">
        <v>51</v>
      </c>
      <c r="G218" t="s">
        <v>33</v>
      </c>
      <c r="H218" t="s">
        <v>34</v>
      </c>
      <c r="I218" t="s">
        <v>75</v>
      </c>
      <c r="J218" t="s">
        <v>76</v>
      </c>
      <c r="K218">
        <v>3</v>
      </c>
      <c r="L218">
        <v>399</v>
      </c>
      <c r="M218" s="3">
        <v>0.1</v>
      </c>
      <c r="N218">
        <v>1077.3</v>
      </c>
      <c r="O218">
        <v>660</v>
      </c>
      <c r="P218">
        <v>417.3</v>
      </c>
      <c r="Q218" t="s">
        <v>66</v>
      </c>
      <c r="R218" t="s">
        <v>28</v>
      </c>
      <c r="S218">
        <v>3</v>
      </c>
    </row>
    <row r="219" spans="1:19">
      <c r="A219" t="s">
        <v>504</v>
      </c>
      <c r="B219" s="2">
        <v>46213</v>
      </c>
      <c r="C219" t="s">
        <v>407</v>
      </c>
      <c r="D219" t="s">
        <v>408</v>
      </c>
      <c r="E219" t="s">
        <v>32</v>
      </c>
      <c r="F219">
        <v>44</v>
      </c>
      <c r="G219" t="s">
        <v>48</v>
      </c>
      <c r="H219" t="s">
        <v>42</v>
      </c>
      <c r="I219" t="s">
        <v>25</v>
      </c>
      <c r="J219" t="s">
        <v>62</v>
      </c>
      <c r="K219">
        <v>4</v>
      </c>
      <c r="L219">
        <v>1299</v>
      </c>
      <c r="M219" s="3">
        <v>0.05</v>
      </c>
      <c r="N219">
        <v>4936.2</v>
      </c>
      <c r="O219">
        <v>3200</v>
      </c>
      <c r="P219">
        <v>1736.2</v>
      </c>
      <c r="Q219" t="s">
        <v>69</v>
      </c>
      <c r="R219" t="s">
        <v>28</v>
      </c>
      <c r="S219">
        <v>1</v>
      </c>
    </row>
    <row r="220" spans="1:19">
      <c r="A220" t="s">
        <v>505</v>
      </c>
      <c r="B220" s="2">
        <v>45894</v>
      </c>
      <c r="C220" t="s">
        <v>506</v>
      </c>
      <c r="D220" t="s">
        <v>414</v>
      </c>
      <c r="E220" t="s">
        <v>22</v>
      </c>
      <c r="F220">
        <v>42</v>
      </c>
      <c r="G220" t="s">
        <v>180</v>
      </c>
      <c r="H220" t="s">
        <v>181</v>
      </c>
      <c r="I220" t="s">
        <v>25</v>
      </c>
      <c r="J220" t="s">
        <v>156</v>
      </c>
      <c r="K220">
        <v>4</v>
      </c>
      <c r="L220">
        <v>1999</v>
      </c>
      <c r="M220" s="3">
        <v>0.05</v>
      </c>
      <c r="N220">
        <v>7596.2</v>
      </c>
      <c r="O220">
        <v>5200</v>
      </c>
      <c r="P220">
        <v>2396.1999999999998</v>
      </c>
      <c r="Q220" t="s">
        <v>69</v>
      </c>
      <c r="R220" t="s">
        <v>28</v>
      </c>
      <c r="S220">
        <v>1</v>
      </c>
    </row>
    <row r="221" spans="1:19">
      <c r="A221" t="s">
        <v>507</v>
      </c>
      <c r="B221" s="2">
        <v>45719</v>
      </c>
      <c r="C221" t="s">
        <v>289</v>
      </c>
      <c r="D221" t="s">
        <v>121</v>
      </c>
      <c r="E221" t="s">
        <v>22</v>
      </c>
      <c r="F221">
        <v>38</v>
      </c>
      <c r="G221" t="s">
        <v>73</v>
      </c>
      <c r="H221" t="s">
        <v>74</v>
      </c>
      <c r="I221" t="s">
        <v>35</v>
      </c>
      <c r="J221" t="s">
        <v>108</v>
      </c>
      <c r="K221">
        <v>4</v>
      </c>
      <c r="L221">
        <v>699</v>
      </c>
      <c r="M221" s="3">
        <v>0.1</v>
      </c>
      <c r="N221">
        <v>2516.4</v>
      </c>
      <c r="O221">
        <v>1520</v>
      </c>
      <c r="P221">
        <v>996.4</v>
      </c>
      <c r="Q221" t="s">
        <v>50</v>
      </c>
      <c r="R221" t="s">
        <v>28</v>
      </c>
      <c r="S221">
        <v>5</v>
      </c>
    </row>
    <row r="222" spans="1:19">
      <c r="A222" t="s">
        <v>508</v>
      </c>
      <c r="B222" s="2">
        <v>45664</v>
      </c>
      <c r="C222" t="s">
        <v>148</v>
      </c>
      <c r="D222" t="s">
        <v>47</v>
      </c>
      <c r="E222" t="s">
        <v>22</v>
      </c>
      <c r="F222">
        <v>23</v>
      </c>
      <c r="G222" t="s">
        <v>93</v>
      </c>
      <c r="H222" t="s">
        <v>94</v>
      </c>
      <c r="I222" t="s">
        <v>117</v>
      </c>
      <c r="J222" t="s">
        <v>118</v>
      </c>
      <c r="K222">
        <v>4</v>
      </c>
      <c r="L222">
        <v>999</v>
      </c>
      <c r="M222" s="3">
        <v>0</v>
      </c>
      <c r="N222">
        <v>3996</v>
      </c>
      <c r="O222">
        <v>2200</v>
      </c>
      <c r="P222">
        <v>1796</v>
      </c>
      <c r="Q222" t="s">
        <v>50</v>
      </c>
      <c r="R222" t="s">
        <v>28</v>
      </c>
      <c r="S222">
        <v>1</v>
      </c>
    </row>
    <row r="223" spans="1:19">
      <c r="A223" t="s">
        <v>509</v>
      </c>
      <c r="B223" s="2">
        <v>45951</v>
      </c>
      <c r="C223" t="s">
        <v>20</v>
      </c>
      <c r="D223" t="s">
        <v>21</v>
      </c>
      <c r="E223" t="s">
        <v>22</v>
      </c>
      <c r="F223">
        <v>52</v>
      </c>
      <c r="G223" t="s">
        <v>23</v>
      </c>
      <c r="H223" t="s">
        <v>24</v>
      </c>
      <c r="I223" t="s">
        <v>35</v>
      </c>
      <c r="J223" t="s">
        <v>108</v>
      </c>
      <c r="K223">
        <v>3</v>
      </c>
      <c r="L223">
        <v>699</v>
      </c>
      <c r="M223" s="3">
        <v>0.2</v>
      </c>
      <c r="N223">
        <v>1677.6</v>
      </c>
      <c r="O223">
        <v>1140</v>
      </c>
      <c r="P223">
        <v>537.6</v>
      </c>
      <c r="Q223" t="s">
        <v>69</v>
      </c>
      <c r="R223" t="s">
        <v>28</v>
      </c>
      <c r="S223">
        <v>4</v>
      </c>
    </row>
    <row r="224" spans="1:19">
      <c r="A224" t="s">
        <v>510</v>
      </c>
      <c r="B224" s="2">
        <v>45810</v>
      </c>
      <c r="C224" t="s">
        <v>511</v>
      </c>
      <c r="D224" t="s">
        <v>512</v>
      </c>
      <c r="E224" t="s">
        <v>22</v>
      </c>
      <c r="F224">
        <v>24</v>
      </c>
      <c r="G224" t="s">
        <v>115</v>
      </c>
      <c r="H224" t="s">
        <v>116</v>
      </c>
      <c r="I224" t="s">
        <v>25</v>
      </c>
      <c r="J224" t="s">
        <v>56</v>
      </c>
      <c r="K224">
        <v>1</v>
      </c>
      <c r="L224">
        <v>899</v>
      </c>
      <c r="M224" s="3">
        <v>0.2</v>
      </c>
      <c r="N224">
        <v>719.2</v>
      </c>
      <c r="O224">
        <v>550</v>
      </c>
      <c r="P224">
        <v>169.2</v>
      </c>
      <c r="Q224" t="s">
        <v>27</v>
      </c>
      <c r="R224" t="s">
        <v>28</v>
      </c>
      <c r="S224">
        <v>5</v>
      </c>
    </row>
    <row r="225" spans="1:19">
      <c r="A225" t="s">
        <v>513</v>
      </c>
      <c r="B225" s="2">
        <v>45738</v>
      </c>
      <c r="C225" t="s">
        <v>209</v>
      </c>
      <c r="D225" t="s">
        <v>210</v>
      </c>
      <c r="E225" t="s">
        <v>32</v>
      </c>
      <c r="F225">
        <v>26</v>
      </c>
      <c r="G225" t="s">
        <v>23</v>
      </c>
      <c r="H225" t="s">
        <v>24</v>
      </c>
      <c r="I225" t="s">
        <v>163</v>
      </c>
      <c r="J225" t="s">
        <v>214</v>
      </c>
      <c r="K225">
        <v>3</v>
      </c>
      <c r="L225">
        <v>1499</v>
      </c>
      <c r="M225" s="3">
        <v>0.15</v>
      </c>
      <c r="N225">
        <v>3822.45</v>
      </c>
      <c r="O225">
        <v>2700</v>
      </c>
      <c r="P225">
        <v>1122.45</v>
      </c>
      <c r="Q225" t="s">
        <v>37</v>
      </c>
      <c r="R225" t="s">
        <v>51</v>
      </c>
      <c r="S225">
        <v>4</v>
      </c>
    </row>
    <row r="226" spans="1:19">
      <c r="A226" t="s">
        <v>514</v>
      </c>
      <c r="B226" s="2">
        <v>45740</v>
      </c>
      <c r="C226" t="s">
        <v>287</v>
      </c>
      <c r="D226" t="s">
        <v>190</v>
      </c>
      <c r="E226" t="s">
        <v>32</v>
      </c>
      <c r="F226">
        <v>39</v>
      </c>
      <c r="G226" t="s">
        <v>81</v>
      </c>
      <c r="H226" t="s">
        <v>82</v>
      </c>
      <c r="I226" t="s">
        <v>43</v>
      </c>
      <c r="J226" t="s">
        <v>281</v>
      </c>
      <c r="K226">
        <v>2</v>
      </c>
      <c r="L226">
        <v>2999</v>
      </c>
      <c r="M226" s="3">
        <v>0.1</v>
      </c>
      <c r="N226">
        <v>5398.2</v>
      </c>
      <c r="O226">
        <v>3600</v>
      </c>
      <c r="P226">
        <v>1798.2</v>
      </c>
      <c r="Q226" t="s">
        <v>69</v>
      </c>
      <c r="R226" t="s">
        <v>28</v>
      </c>
      <c r="S226">
        <v>4</v>
      </c>
    </row>
    <row r="227" spans="1:19">
      <c r="A227" t="s">
        <v>515</v>
      </c>
      <c r="B227" s="2">
        <v>45667</v>
      </c>
      <c r="C227" t="s">
        <v>516</v>
      </c>
      <c r="D227" t="s">
        <v>449</v>
      </c>
      <c r="E227" t="s">
        <v>22</v>
      </c>
      <c r="F227">
        <v>45</v>
      </c>
      <c r="G227" t="s">
        <v>41</v>
      </c>
      <c r="H227" t="s">
        <v>42</v>
      </c>
      <c r="I227" t="s">
        <v>35</v>
      </c>
      <c r="J227" t="s">
        <v>126</v>
      </c>
      <c r="K227">
        <v>4</v>
      </c>
      <c r="L227">
        <v>1499</v>
      </c>
      <c r="M227" s="3">
        <v>0</v>
      </c>
      <c r="N227">
        <v>5996</v>
      </c>
      <c r="O227">
        <v>3400</v>
      </c>
      <c r="P227">
        <v>2596</v>
      </c>
      <c r="Q227" t="s">
        <v>27</v>
      </c>
      <c r="R227" t="s">
        <v>28</v>
      </c>
      <c r="S227">
        <v>4</v>
      </c>
    </row>
    <row r="228" spans="1:19">
      <c r="A228" t="s">
        <v>517</v>
      </c>
      <c r="B228" s="2">
        <v>45701</v>
      </c>
      <c r="C228" t="s">
        <v>247</v>
      </c>
      <c r="D228" t="s">
        <v>248</v>
      </c>
      <c r="E228" t="s">
        <v>32</v>
      </c>
      <c r="F228">
        <v>35</v>
      </c>
      <c r="G228" t="s">
        <v>33</v>
      </c>
      <c r="H228" t="s">
        <v>34</v>
      </c>
      <c r="I228" t="s">
        <v>75</v>
      </c>
      <c r="J228" t="s">
        <v>86</v>
      </c>
      <c r="K228">
        <v>1</v>
      </c>
      <c r="L228">
        <v>499</v>
      </c>
      <c r="M228" s="3">
        <v>0.2</v>
      </c>
      <c r="N228">
        <v>399.2</v>
      </c>
      <c r="O228">
        <v>300</v>
      </c>
      <c r="P228">
        <v>99.2</v>
      </c>
      <c r="Q228" t="s">
        <v>27</v>
      </c>
      <c r="R228" t="s">
        <v>28</v>
      </c>
      <c r="S228">
        <v>5</v>
      </c>
    </row>
    <row r="229" spans="1:19">
      <c r="A229" t="s">
        <v>518</v>
      </c>
      <c r="B229" s="2">
        <v>45945</v>
      </c>
      <c r="C229" t="s">
        <v>433</v>
      </c>
      <c r="D229" t="s">
        <v>92</v>
      </c>
      <c r="E229" t="s">
        <v>32</v>
      </c>
      <c r="F229">
        <v>28</v>
      </c>
      <c r="G229" t="s">
        <v>93</v>
      </c>
      <c r="H229" t="s">
        <v>94</v>
      </c>
      <c r="I229" t="s">
        <v>43</v>
      </c>
      <c r="J229" t="s">
        <v>197</v>
      </c>
      <c r="K229">
        <v>1</v>
      </c>
      <c r="L229">
        <v>1799</v>
      </c>
      <c r="M229" s="3">
        <v>0</v>
      </c>
      <c r="N229">
        <v>1799</v>
      </c>
      <c r="O229">
        <v>1050</v>
      </c>
      <c r="P229">
        <v>749</v>
      </c>
      <c r="Q229" t="s">
        <v>50</v>
      </c>
      <c r="R229" t="s">
        <v>28</v>
      </c>
      <c r="S229">
        <v>1</v>
      </c>
    </row>
    <row r="230" spans="1:19">
      <c r="A230" t="s">
        <v>519</v>
      </c>
      <c r="B230" s="2">
        <v>46259</v>
      </c>
      <c r="C230" t="s">
        <v>511</v>
      </c>
      <c r="D230" t="s">
        <v>512</v>
      </c>
      <c r="E230" t="s">
        <v>22</v>
      </c>
      <c r="F230">
        <v>24</v>
      </c>
      <c r="G230" t="s">
        <v>115</v>
      </c>
      <c r="H230" t="s">
        <v>116</v>
      </c>
      <c r="I230" t="s">
        <v>163</v>
      </c>
      <c r="J230" t="s">
        <v>164</v>
      </c>
      <c r="K230">
        <v>1</v>
      </c>
      <c r="L230">
        <v>3499</v>
      </c>
      <c r="M230" s="3">
        <v>0.05</v>
      </c>
      <c r="N230">
        <v>3324.05</v>
      </c>
      <c r="O230">
        <v>2200</v>
      </c>
      <c r="P230">
        <v>1124.05</v>
      </c>
      <c r="Q230" t="s">
        <v>27</v>
      </c>
      <c r="R230" t="s">
        <v>28</v>
      </c>
      <c r="S230">
        <v>4</v>
      </c>
    </row>
    <row r="231" spans="1:19">
      <c r="A231" t="s">
        <v>520</v>
      </c>
      <c r="B231" s="2">
        <v>45904</v>
      </c>
      <c r="C231" t="s">
        <v>91</v>
      </c>
      <c r="D231" t="s">
        <v>92</v>
      </c>
      <c r="E231" t="s">
        <v>32</v>
      </c>
      <c r="F231">
        <v>43</v>
      </c>
      <c r="G231" t="s">
        <v>93</v>
      </c>
      <c r="H231" t="s">
        <v>94</v>
      </c>
      <c r="I231" t="s">
        <v>43</v>
      </c>
      <c r="J231" t="s">
        <v>44</v>
      </c>
      <c r="K231">
        <v>2</v>
      </c>
      <c r="L231">
        <v>1599</v>
      </c>
      <c r="M231" s="3">
        <v>0.2</v>
      </c>
      <c r="N231">
        <v>2558.4</v>
      </c>
      <c r="O231">
        <v>1900</v>
      </c>
      <c r="P231">
        <v>658.4</v>
      </c>
      <c r="Q231" t="s">
        <v>50</v>
      </c>
      <c r="R231" t="s">
        <v>137</v>
      </c>
      <c r="S231">
        <v>4</v>
      </c>
    </row>
    <row r="232" spans="1:19">
      <c r="A232" t="s">
        <v>521</v>
      </c>
      <c r="B232" s="2">
        <v>45738</v>
      </c>
      <c r="C232" t="s">
        <v>233</v>
      </c>
      <c r="D232" t="s">
        <v>213</v>
      </c>
      <c r="E232" t="s">
        <v>32</v>
      </c>
      <c r="F232">
        <v>18</v>
      </c>
      <c r="G232" t="s">
        <v>93</v>
      </c>
      <c r="H232" t="s">
        <v>94</v>
      </c>
      <c r="I232" t="s">
        <v>163</v>
      </c>
      <c r="J232" t="s">
        <v>164</v>
      </c>
      <c r="K232">
        <v>4</v>
      </c>
      <c r="L232">
        <v>3499</v>
      </c>
      <c r="M232" s="3">
        <v>0.05</v>
      </c>
      <c r="N232">
        <v>13296.2</v>
      </c>
      <c r="O232">
        <v>8800</v>
      </c>
      <c r="P232">
        <v>4496.2</v>
      </c>
      <c r="Q232" t="s">
        <v>50</v>
      </c>
      <c r="R232" t="s">
        <v>28</v>
      </c>
      <c r="S232">
        <v>3</v>
      </c>
    </row>
    <row r="233" spans="1:19">
      <c r="A233" t="s">
        <v>522</v>
      </c>
      <c r="B233" s="2">
        <v>45735</v>
      </c>
      <c r="C233" t="s">
        <v>332</v>
      </c>
      <c r="D233" t="s">
        <v>333</v>
      </c>
      <c r="E233" t="s">
        <v>32</v>
      </c>
      <c r="F233">
        <v>28</v>
      </c>
      <c r="G233" t="s">
        <v>93</v>
      </c>
      <c r="H233" t="s">
        <v>94</v>
      </c>
      <c r="I233" t="s">
        <v>25</v>
      </c>
      <c r="J233" t="s">
        <v>56</v>
      </c>
      <c r="K233">
        <v>4</v>
      </c>
      <c r="L233">
        <v>899</v>
      </c>
      <c r="M233" s="3">
        <v>0.05</v>
      </c>
      <c r="N233">
        <v>3416.2</v>
      </c>
      <c r="O233">
        <v>2200</v>
      </c>
      <c r="P233">
        <v>1216.2</v>
      </c>
      <c r="Q233" t="s">
        <v>37</v>
      </c>
      <c r="R233" t="s">
        <v>28</v>
      </c>
      <c r="S233">
        <v>5</v>
      </c>
    </row>
    <row r="234" spans="1:19">
      <c r="A234" t="s">
        <v>523</v>
      </c>
      <c r="B234" s="2">
        <v>46119</v>
      </c>
      <c r="C234" t="s">
        <v>220</v>
      </c>
      <c r="D234" t="s">
        <v>221</v>
      </c>
      <c r="E234" t="s">
        <v>22</v>
      </c>
      <c r="F234">
        <v>27</v>
      </c>
      <c r="G234" t="s">
        <v>141</v>
      </c>
      <c r="H234" t="s">
        <v>142</v>
      </c>
      <c r="I234" t="s">
        <v>163</v>
      </c>
      <c r="J234" t="s">
        <v>164</v>
      </c>
      <c r="K234">
        <v>1</v>
      </c>
      <c r="L234">
        <v>3499</v>
      </c>
      <c r="M234" s="3">
        <v>0.1</v>
      </c>
      <c r="N234">
        <v>3149.1</v>
      </c>
      <c r="O234">
        <v>2200</v>
      </c>
      <c r="P234">
        <v>949.1</v>
      </c>
      <c r="Q234" t="s">
        <v>66</v>
      </c>
      <c r="R234" t="s">
        <v>28</v>
      </c>
      <c r="S234">
        <v>5</v>
      </c>
    </row>
    <row r="235" spans="1:19">
      <c r="A235" t="s">
        <v>524</v>
      </c>
      <c r="B235" s="2">
        <v>46047</v>
      </c>
      <c r="C235" t="s">
        <v>516</v>
      </c>
      <c r="D235" t="s">
        <v>449</v>
      </c>
      <c r="E235" t="s">
        <v>22</v>
      </c>
      <c r="F235">
        <v>45</v>
      </c>
      <c r="G235" t="s">
        <v>41</v>
      </c>
      <c r="H235" t="s">
        <v>42</v>
      </c>
      <c r="I235" t="s">
        <v>163</v>
      </c>
      <c r="J235" t="s">
        <v>234</v>
      </c>
      <c r="K235">
        <v>2</v>
      </c>
      <c r="L235">
        <v>999</v>
      </c>
      <c r="M235" s="3">
        <v>0.2</v>
      </c>
      <c r="N235">
        <v>1598.4</v>
      </c>
      <c r="O235">
        <v>1200</v>
      </c>
      <c r="P235">
        <v>398.4</v>
      </c>
      <c r="Q235" t="s">
        <v>69</v>
      </c>
      <c r="R235" t="s">
        <v>28</v>
      </c>
      <c r="S235">
        <v>3</v>
      </c>
    </row>
    <row r="236" spans="1:19">
      <c r="A236" t="s">
        <v>525</v>
      </c>
      <c r="B236" s="2">
        <v>45932</v>
      </c>
      <c r="C236" t="s">
        <v>79</v>
      </c>
      <c r="D236" t="s">
        <v>80</v>
      </c>
      <c r="E236" t="s">
        <v>22</v>
      </c>
      <c r="F236">
        <v>22</v>
      </c>
      <c r="G236" t="s">
        <v>81</v>
      </c>
      <c r="H236" t="s">
        <v>82</v>
      </c>
      <c r="I236" t="s">
        <v>117</v>
      </c>
      <c r="J236" t="s">
        <v>238</v>
      </c>
      <c r="K236">
        <v>1</v>
      </c>
      <c r="L236">
        <v>2499</v>
      </c>
      <c r="M236" s="3">
        <v>0</v>
      </c>
      <c r="N236">
        <v>2499</v>
      </c>
      <c r="O236">
        <v>1500</v>
      </c>
      <c r="P236">
        <v>999</v>
      </c>
      <c r="Q236" t="s">
        <v>27</v>
      </c>
      <c r="R236" t="s">
        <v>28</v>
      </c>
      <c r="S236">
        <v>2</v>
      </c>
    </row>
    <row r="237" spans="1:19">
      <c r="A237" t="s">
        <v>526</v>
      </c>
      <c r="B237" s="2">
        <v>45751</v>
      </c>
      <c r="C237" t="s">
        <v>527</v>
      </c>
      <c r="D237" t="s">
        <v>528</v>
      </c>
      <c r="E237" t="s">
        <v>22</v>
      </c>
      <c r="F237">
        <v>36</v>
      </c>
      <c r="G237" t="s">
        <v>93</v>
      </c>
      <c r="H237" t="s">
        <v>94</v>
      </c>
      <c r="I237" t="s">
        <v>163</v>
      </c>
      <c r="J237" t="s">
        <v>164</v>
      </c>
      <c r="K237">
        <v>3</v>
      </c>
      <c r="L237">
        <v>3499</v>
      </c>
      <c r="M237" s="3">
        <v>0</v>
      </c>
      <c r="N237">
        <v>10497</v>
      </c>
      <c r="O237">
        <v>6600</v>
      </c>
      <c r="P237">
        <v>3897</v>
      </c>
      <c r="Q237" t="s">
        <v>69</v>
      </c>
      <c r="R237" t="s">
        <v>77</v>
      </c>
      <c r="S237">
        <v>4</v>
      </c>
    </row>
    <row r="238" spans="1:19">
      <c r="A238" t="s">
        <v>529</v>
      </c>
      <c r="B238" s="2">
        <v>45747</v>
      </c>
      <c r="C238" t="s">
        <v>131</v>
      </c>
      <c r="D238" t="s">
        <v>132</v>
      </c>
      <c r="E238" t="s">
        <v>32</v>
      </c>
      <c r="F238">
        <v>44</v>
      </c>
      <c r="G238" t="s">
        <v>23</v>
      </c>
      <c r="H238" t="s">
        <v>24</v>
      </c>
      <c r="I238" t="s">
        <v>43</v>
      </c>
      <c r="J238" t="s">
        <v>197</v>
      </c>
      <c r="K238">
        <v>1</v>
      </c>
      <c r="L238">
        <v>1799</v>
      </c>
      <c r="M238" s="3">
        <v>0.05</v>
      </c>
      <c r="N238">
        <v>1709.05</v>
      </c>
      <c r="O238">
        <v>1050</v>
      </c>
      <c r="P238">
        <v>659.05</v>
      </c>
      <c r="Q238" t="s">
        <v>27</v>
      </c>
      <c r="R238" t="s">
        <v>28</v>
      </c>
      <c r="S238">
        <v>5</v>
      </c>
    </row>
    <row r="239" spans="1:19">
      <c r="A239" t="s">
        <v>530</v>
      </c>
      <c r="B239" s="2">
        <v>45684</v>
      </c>
      <c r="C239" t="s">
        <v>427</v>
      </c>
      <c r="D239" t="s">
        <v>248</v>
      </c>
      <c r="E239" t="s">
        <v>32</v>
      </c>
      <c r="F239">
        <v>33</v>
      </c>
      <c r="G239" t="s">
        <v>41</v>
      </c>
      <c r="H239" t="s">
        <v>42</v>
      </c>
      <c r="I239" t="s">
        <v>35</v>
      </c>
      <c r="J239" t="s">
        <v>108</v>
      </c>
      <c r="K239">
        <v>4</v>
      </c>
      <c r="L239">
        <v>699</v>
      </c>
      <c r="M239" s="3">
        <v>0</v>
      </c>
      <c r="N239">
        <v>2796</v>
      </c>
      <c r="O239">
        <v>1520</v>
      </c>
      <c r="P239">
        <v>1276</v>
      </c>
      <c r="Q239" t="s">
        <v>69</v>
      </c>
      <c r="R239" t="s">
        <v>28</v>
      </c>
      <c r="S239">
        <v>1</v>
      </c>
    </row>
    <row r="240" spans="1:19">
      <c r="A240" t="s">
        <v>531</v>
      </c>
      <c r="B240" s="2">
        <v>46081</v>
      </c>
      <c r="C240" t="s">
        <v>532</v>
      </c>
      <c r="D240" t="s">
        <v>533</v>
      </c>
      <c r="E240" t="s">
        <v>22</v>
      </c>
      <c r="F240">
        <v>32</v>
      </c>
      <c r="G240" t="s">
        <v>180</v>
      </c>
      <c r="H240" t="s">
        <v>181</v>
      </c>
      <c r="I240" t="s">
        <v>163</v>
      </c>
      <c r="J240" t="s">
        <v>290</v>
      </c>
      <c r="K240">
        <v>1</v>
      </c>
      <c r="L240">
        <v>1999</v>
      </c>
      <c r="M240" s="3">
        <v>0.1</v>
      </c>
      <c r="N240">
        <v>1799.1</v>
      </c>
      <c r="O240">
        <v>1200</v>
      </c>
      <c r="P240">
        <v>599.1</v>
      </c>
      <c r="Q240" t="s">
        <v>66</v>
      </c>
      <c r="R240" t="s">
        <v>28</v>
      </c>
      <c r="S240">
        <v>5</v>
      </c>
    </row>
    <row r="241" spans="1:19">
      <c r="A241" t="s">
        <v>534</v>
      </c>
      <c r="B241" s="2">
        <v>45831</v>
      </c>
      <c r="C241" t="s">
        <v>189</v>
      </c>
      <c r="D241" t="s">
        <v>190</v>
      </c>
      <c r="E241" t="s">
        <v>32</v>
      </c>
      <c r="F241">
        <v>22</v>
      </c>
      <c r="G241" t="s">
        <v>115</v>
      </c>
      <c r="H241" t="s">
        <v>116</v>
      </c>
      <c r="I241" t="s">
        <v>75</v>
      </c>
      <c r="J241" t="s">
        <v>86</v>
      </c>
      <c r="K241">
        <v>2</v>
      </c>
      <c r="L241">
        <v>499</v>
      </c>
      <c r="M241" s="3">
        <v>0.15</v>
      </c>
      <c r="N241">
        <v>848.3</v>
      </c>
      <c r="O241">
        <v>600</v>
      </c>
      <c r="P241">
        <v>248.3</v>
      </c>
      <c r="Q241" t="s">
        <v>27</v>
      </c>
      <c r="R241" t="s">
        <v>28</v>
      </c>
      <c r="S241">
        <v>3</v>
      </c>
    </row>
    <row r="242" spans="1:19">
      <c r="A242" t="s">
        <v>535</v>
      </c>
      <c r="B242" s="2">
        <v>46103</v>
      </c>
      <c r="C242" t="s">
        <v>230</v>
      </c>
      <c r="D242" t="s">
        <v>231</v>
      </c>
      <c r="E242" t="s">
        <v>32</v>
      </c>
      <c r="F242">
        <v>35</v>
      </c>
      <c r="G242" t="s">
        <v>55</v>
      </c>
      <c r="H242" t="s">
        <v>34</v>
      </c>
      <c r="I242" t="s">
        <v>25</v>
      </c>
      <c r="J242" t="s">
        <v>62</v>
      </c>
      <c r="K242">
        <v>1</v>
      </c>
      <c r="L242">
        <v>1299</v>
      </c>
      <c r="M242" s="3">
        <v>0.05</v>
      </c>
      <c r="N242">
        <v>1234.05</v>
      </c>
      <c r="O242">
        <v>800</v>
      </c>
      <c r="P242">
        <v>434.05</v>
      </c>
      <c r="Q242" t="s">
        <v>37</v>
      </c>
      <c r="R242" t="s">
        <v>28</v>
      </c>
      <c r="S242">
        <v>4</v>
      </c>
    </row>
    <row r="243" spans="1:19">
      <c r="A243" t="s">
        <v>536</v>
      </c>
      <c r="B243" s="2">
        <v>46165</v>
      </c>
      <c r="C243" t="s">
        <v>91</v>
      </c>
      <c r="D243" t="s">
        <v>92</v>
      </c>
      <c r="E243" t="s">
        <v>32</v>
      </c>
      <c r="F243">
        <v>43</v>
      </c>
      <c r="G243" t="s">
        <v>93</v>
      </c>
      <c r="H243" t="s">
        <v>94</v>
      </c>
      <c r="I243" t="s">
        <v>163</v>
      </c>
      <c r="J243" t="s">
        <v>214</v>
      </c>
      <c r="K243">
        <v>3</v>
      </c>
      <c r="L243">
        <v>1499</v>
      </c>
      <c r="M243" s="3">
        <v>0.05</v>
      </c>
      <c r="N243">
        <v>4272.1499999999996</v>
      </c>
      <c r="O243">
        <v>2700</v>
      </c>
      <c r="P243">
        <v>1572.15</v>
      </c>
      <c r="Q243" t="s">
        <v>50</v>
      </c>
      <c r="R243" t="s">
        <v>28</v>
      </c>
      <c r="S243">
        <v>4</v>
      </c>
    </row>
    <row r="244" spans="1:19">
      <c r="A244" t="s">
        <v>537</v>
      </c>
      <c r="B244" s="2">
        <v>46063</v>
      </c>
      <c r="C244" t="s">
        <v>453</v>
      </c>
      <c r="D244" t="s">
        <v>454</v>
      </c>
      <c r="E244" t="s">
        <v>32</v>
      </c>
      <c r="F244">
        <v>25</v>
      </c>
      <c r="G244" t="s">
        <v>141</v>
      </c>
      <c r="H244" t="s">
        <v>142</v>
      </c>
      <c r="I244" t="s">
        <v>25</v>
      </c>
      <c r="J244" t="s">
        <v>62</v>
      </c>
      <c r="K244">
        <v>3</v>
      </c>
      <c r="L244">
        <v>1299</v>
      </c>
      <c r="M244" s="3">
        <v>0</v>
      </c>
      <c r="N244">
        <v>3897</v>
      </c>
      <c r="O244">
        <v>2400</v>
      </c>
      <c r="P244">
        <v>1497</v>
      </c>
      <c r="Q244" t="s">
        <v>37</v>
      </c>
      <c r="R244" t="s">
        <v>137</v>
      </c>
      <c r="S244">
        <v>4</v>
      </c>
    </row>
    <row r="245" spans="1:19">
      <c r="A245" t="s">
        <v>538</v>
      </c>
      <c r="B245" s="2">
        <v>46266</v>
      </c>
      <c r="C245" t="s">
        <v>247</v>
      </c>
      <c r="D245" t="s">
        <v>248</v>
      </c>
      <c r="E245" t="s">
        <v>32</v>
      </c>
      <c r="F245">
        <v>35</v>
      </c>
      <c r="G245" t="s">
        <v>33</v>
      </c>
      <c r="H245" t="s">
        <v>34</v>
      </c>
      <c r="I245" t="s">
        <v>35</v>
      </c>
      <c r="J245" t="s">
        <v>136</v>
      </c>
      <c r="K245">
        <v>3</v>
      </c>
      <c r="L245">
        <v>799</v>
      </c>
      <c r="M245" s="3">
        <v>0.15</v>
      </c>
      <c r="N245">
        <v>2037.45</v>
      </c>
      <c r="O245">
        <v>1350</v>
      </c>
      <c r="P245">
        <v>687.45</v>
      </c>
      <c r="Q245" t="s">
        <v>27</v>
      </c>
      <c r="R245" t="s">
        <v>28</v>
      </c>
      <c r="S245">
        <v>5</v>
      </c>
    </row>
    <row r="246" spans="1:19">
      <c r="A246" t="s">
        <v>539</v>
      </c>
      <c r="B246" s="2">
        <v>46065</v>
      </c>
      <c r="C246" t="s">
        <v>216</v>
      </c>
      <c r="D246" t="s">
        <v>217</v>
      </c>
      <c r="E246" t="s">
        <v>22</v>
      </c>
      <c r="F246">
        <v>43</v>
      </c>
      <c r="G246" t="s">
        <v>115</v>
      </c>
      <c r="H246" t="s">
        <v>116</v>
      </c>
      <c r="I246" t="s">
        <v>35</v>
      </c>
      <c r="J246" t="s">
        <v>36</v>
      </c>
      <c r="K246">
        <v>3</v>
      </c>
      <c r="L246">
        <v>599</v>
      </c>
      <c r="M246" s="3">
        <v>0.05</v>
      </c>
      <c r="N246">
        <v>1707.15</v>
      </c>
      <c r="O246">
        <v>960</v>
      </c>
      <c r="P246">
        <v>747.15</v>
      </c>
      <c r="Q246" t="s">
        <v>37</v>
      </c>
      <c r="R246" t="s">
        <v>28</v>
      </c>
      <c r="S246">
        <v>4</v>
      </c>
    </row>
    <row r="247" spans="1:19">
      <c r="A247" t="s">
        <v>540</v>
      </c>
      <c r="B247" s="2">
        <v>45945</v>
      </c>
      <c r="C247" t="s">
        <v>71</v>
      </c>
      <c r="D247" t="s">
        <v>72</v>
      </c>
      <c r="E247" t="s">
        <v>32</v>
      </c>
      <c r="F247">
        <v>53</v>
      </c>
      <c r="G247" t="s">
        <v>73</v>
      </c>
      <c r="H247" t="s">
        <v>74</v>
      </c>
      <c r="I247" t="s">
        <v>43</v>
      </c>
      <c r="J247" t="s">
        <v>281</v>
      </c>
      <c r="K247">
        <v>3</v>
      </c>
      <c r="L247">
        <v>2999</v>
      </c>
      <c r="M247" s="3">
        <v>0.15</v>
      </c>
      <c r="N247">
        <v>7647.45</v>
      </c>
      <c r="O247">
        <v>5400</v>
      </c>
      <c r="P247">
        <v>2247.4499999999998</v>
      </c>
      <c r="Q247" t="s">
        <v>66</v>
      </c>
      <c r="R247" t="s">
        <v>28</v>
      </c>
      <c r="S247">
        <v>5</v>
      </c>
    </row>
    <row r="248" spans="1:19">
      <c r="A248" t="s">
        <v>541</v>
      </c>
      <c r="B248" s="2">
        <v>45685</v>
      </c>
      <c r="C248" t="s">
        <v>216</v>
      </c>
      <c r="D248" t="s">
        <v>217</v>
      </c>
      <c r="E248" t="s">
        <v>22</v>
      </c>
      <c r="F248">
        <v>43</v>
      </c>
      <c r="G248" t="s">
        <v>115</v>
      </c>
      <c r="H248" t="s">
        <v>116</v>
      </c>
      <c r="I248" t="s">
        <v>75</v>
      </c>
      <c r="J248" t="s">
        <v>86</v>
      </c>
      <c r="K248">
        <v>2</v>
      </c>
      <c r="L248">
        <v>499</v>
      </c>
      <c r="M248" s="3">
        <v>0.2</v>
      </c>
      <c r="N248">
        <v>798.4</v>
      </c>
      <c r="O248">
        <v>600</v>
      </c>
      <c r="P248">
        <v>198.4</v>
      </c>
      <c r="Q248" t="s">
        <v>66</v>
      </c>
      <c r="R248" t="s">
        <v>77</v>
      </c>
      <c r="S248">
        <v>2</v>
      </c>
    </row>
    <row r="249" spans="1:19">
      <c r="A249" t="s">
        <v>542</v>
      </c>
      <c r="B249" s="2">
        <v>46169</v>
      </c>
      <c r="C249" t="s">
        <v>345</v>
      </c>
      <c r="D249" t="s">
        <v>346</v>
      </c>
      <c r="E249" t="s">
        <v>32</v>
      </c>
      <c r="F249">
        <v>33</v>
      </c>
      <c r="G249" t="s">
        <v>73</v>
      </c>
      <c r="H249" t="s">
        <v>74</v>
      </c>
      <c r="I249" t="s">
        <v>43</v>
      </c>
      <c r="J249" t="s">
        <v>44</v>
      </c>
      <c r="K249">
        <v>1</v>
      </c>
      <c r="L249">
        <v>1599</v>
      </c>
      <c r="M249" s="3">
        <v>0.15</v>
      </c>
      <c r="N249">
        <v>1359.15</v>
      </c>
      <c r="O249">
        <v>950</v>
      </c>
      <c r="P249">
        <v>409.15</v>
      </c>
      <c r="Q249" t="s">
        <v>27</v>
      </c>
      <c r="R249" t="s">
        <v>28</v>
      </c>
      <c r="S249">
        <v>2</v>
      </c>
    </row>
    <row r="250" spans="1:19">
      <c r="A250" t="s">
        <v>543</v>
      </c>
      <c r="B250" s="2">
        <v>46044</v>
      </c>
      <c r="C250" t="s">
        <v>209</v>
      </c>
      <c r="D250" t="s">
        <v>210</v>
      </c>
      <c r="E250" t="s">
        <v>32</v>
      </c>
      <c r="F250">
        <v>26</v>
      </c>
      <c r="G250" t="s">
        <v>23</v>
      </c>
      <c r="H250" t="s">
        <v>24</v>
      </c>
      <c r="I250" t="s">
        <v>117</v>
      </c>
      <c r="J250" t="s">
        <v>118</v>
      </c>
      <c r="K250">
        <v>2</v>
      </c>
      <c r="L250">
        <v>999</v>
      </c>
      <c r="M250" s="3">
        <v>0.15</v>
      </c>
      <c r="N250">
        <v>1698.3</v>
      </c>
      <c r="O250">
        <v>1100</v>
      </c>
      <c r="P250">
        <v>598.29999999999995</v>
      </c>
      <c r="Q250" t="s">
        <v>69</v>
      </c>
      <c r="R250" t="s">
        <v>28</v>
      </c>
      <c r="S250">
        <v>5</v>
      </c>
    </row>
    <row r="251" spans="1:19">
      <c r="A251" t="s">
        <v>544</v>
      </c>
      <c r="B251" s="2">
        <v>46176</v>
      </c>
      <c r="C251" t="s">
        <v>448</v>
      </c>
      <c r="D251" t="s">
        <v>449</v>
      </c>
      <c r="E251" t="s">
        <v>22</v>
      </c>
      <c r="F251">
        <v>43</v>
      </c>
      <c r="G251" t="s">
        <v>81</v>
      </c>
      <c r="H251" t="s">
        <v>82</v>
      </c>
      <c r="I251" t="s">
        <v>75</v>
      </c>
      <c r="J251" t="s">
        <v>86</v>
      </c>
      <c r="K251">
        <v>4</v>
      </c>
      <c r="L251">
        <v>499</v>
      </c>
      <c r="M251" s="3">
        <v>0.2</v>
      </c>
      <c r="N251">
        <v>1596.8</v>
      </c>
      <c r="O251">
        <v>1200</v>
      </c>
      <c r="P251">
        <v>396.8</v>
      </c>
      <c r="Q251" t="s">
        <v>66</v>
      </c>
      <c r="R251" t="s">
        <v>28</v>
      </c>
      <c r="S251">
        <v>3</v>
      </c>
    </row>
    <row r="252" spans="1:19">
      <c r="A252" t="s">
        <v>545</v>
      </c>
      <c r="B252" s="2">
        <v>45912</v>
      </c>
      <c r="C252" t="s">
        <v>467</v>
      </c>
      <c r="D252" t="s">
        <v>322</v>
      </c>
      <c r="E252" t="s">
        <v>32</v>
      </c>
      <c r="F252">
        <v>41</v>
      </c>
      <c r="G252" t="s">
        <v>55</v>
      </c>
      <c r="H252" t="s">
        <v>34</v>
      </c>
      <c r="I252" t="s">
        <v>75</v>
      </c>
      <c r="J252" t="s">
        <v>106</v>
      </c>
      <c r="K252">
        <v>1</v>
      </c>
      <c r="L252">
        <v>899</v>
      </c>
      <c r="M252" s="3">
        <v>0</v>
      </c>
      <c r="N252">
        <v>899</v>
      </c>
      <c r="O252">
        <v>600</v>
      </c>
      <c r="P252">
        <v>299</v>
      </c>
      <c r="Q252" t="s">
        <v>37</v>
      </c>
      <c r="R252" t="s">
        <v>28</v>
      </c>
      <c r="S252">
        <v>5</v>
      </c>
    </row>
    <row r="253" spans="1:19">
      <c r="A253" t="s">
        <v>546</v>
      </c>
      <c r="B253" s="2">
        <v>46098</v>
      </c>
      <c r="C253" t="s">
        <v>166</v>
      </c>
      <c r="D253" t="s">
        <v>167</v>
      </c>
      <c r="E253" t="s">
        <v>22</v>
      </c>
      <c r="F253">
        <v>36</v>
      </c>
      <c r="G253" t="s">
        <v>146</v>
      </c>
      <c r="H253" t="s">
        <v>61</v>
      </c>
      <c r="I253" t="s">
        <v>75</v>
      </c>
      <c r="J253" t="s">
        <v>86</v>
      </c>
      <c r="K253">
        <v>4</v>
      </c>
      <c r="L253">
        <v>499</v>
      </c>
      <c r="M253" s="3">
        <v>0.1</v>
      </c>
      <c r="N253">
        <v>1796.4</v>
      </c>
      <c r="O253">
        <v>1200</v>
      </c>
      <c r="P253">
        <v>596.4</v>
      </c>
      <c r="Q253" t="s">
        <v>69</v>
      </c>
      <c r="R253" t="s">
        <v>28</v>
      </c>
      <c r="S253">
        <v>3</v>
      </c>
    </row>
    <row r="254" spans="1:19">
      <c r="A254" t="s">
        <v>547</v>
      </c>
      <c r="B254" s="2">
        <v>46041</v>
      </c>
      <c r="C254" t="s">
        <v>310</v>
      </c>
      <c r="D254" t="s">
        <v>311</v>
      </c>
      <c r="E254" t="s">
        <v>32</v>
      </c>
      <c r="F254">
        <v>50</v>
      </c>
      <c r="G254" t="s">
        <v>81</v>
      </c>
      <c r="H254" t="s">
        <v>82</v>
      </c>
      <c r="I254" t="s">
        <v>35</v>
      </c>
      <c r="J254" t="s">
        <v>108</v>
      </c>
      <c r="K254">
        <v>2</v>
      </c>
      <c r="L254">
        <v>699</v>
      </c>
      <c r="M254" s="3">
        <v>0.15</v>
      </c>
      <c r="N254">
        <v>1188.3</v>
      </c>
      <c r="O254">
        <v>760</v>
      </c>
      <c r="P254">
        <v>428.3</v>
      </c>
      <c r="Q254" t="s">
        <v>66</v>
      </c>
      <c r="R254" t="s">
        <v>28</v>
      </c>
      <c r="S254">
        <v>5</v>
      </c>
    </row>
    <row r="255" spans="1:19">
      <c r="A255" t="s">
        <v>548</v>
      </c>
      <c r="B255" s="2">
        <v>46152</v>
      </c>
      <c r="C255" t="s">
        <v>304</v>
      </c>
      <c r="D255" t="s">
        <v>305</v>
      </c>
      <c r="E255" t="s">
        <v>32</v>
      </c>
      <c r="F255">
        <v>32</v>
      </c>
      <c r="G255" t="s">
        <v>146</v>
      </c>
      <c r="H255" t="s">
        <v>61</v>
      </c>
      <c r="I255" t="s">
        <v>25</v>
      </c>
      <c r="J255" t="s">
        <v>62</v>
      </c>
      <c r="K255">
        <v>3</v>
      </c>
      <c r="L255">
        <v>1299</v>
      </c>
      <c r="M255" s="3">
        <v>0</v>
      </c>
      <c r="N255">
        <v>3897</v>
      </c>
      <c r="O255">
        <v>2400</v>
      </c>
      <c r="P255">
        <v>1497</v>
      </c>
      <c r="Q255" t="s">
        <v>69</v>
      </c>
      <c r="R255" t="s">
        <v>28</v>
      </c>
      <c r="S255">
        <v>1</v>
      </c>
    </row>
    <row r="256" spans="1:19">
      <c r="A256" t="s">
        <v>549</v>
      </c>
      <c r="B256" s="2">
        <v>45977</v>
      </c>
      <c r="C256" t="s">
        <v>254</v>
      </c>
      <c r="D256" t="s">
        <v>255</v>
      </c>
      <c r="E256" t="s">
        <v>22</v>
      </c>
      <c r="F256">
        <v>50</v>
      </c>
      <c r="G256" t="s">
        <v>141</v>
      </c>
      <c r="H256" t="s">
        <v>142</v>
      </c>
      <c r="I256" t="s">
        <v>117</v>
      </c>
      <c r="J256" t="s">
        <v>152</v>
      </c>
      <c r="K256">
        <v>2</v>
      </c>
      <c r="L256">
        <v>899</v>
      </c>
      <c r="M256" s="3">
        <v>0.1</v>
      </c>
      <c r="N256">
        <v>1618.2</v>
      </c>
      <c r="O256">
        <v>1000</v>
      </c>
      <c r="P256">
        <v>618.20000000000005</v>
      </c>
      <c r="Q256" t="s">
        <v>37</v>
      </c>
      <c r="R256" t="s">
        <v>28</v>
      </c>
      <c r="S256">
        <v>2</v>
      </c>
    </row>
    <row r="257" spans="1:19">
      <c r="A257" t="s">
        <v>550</v>
      </c>
      <c r="B257" s="2">
        <v>45757</v>
      </c>
      <c r="C257" t="s">
        <v>329</v>
      </c>
      <c r="D257" t="s">
        <v>330</v>
      </c>
      <c r="E257" t="s">
        <v>22</v>
      </c>
      <c r="F257">
        <v>28</v>
      </c>
      <c r="G257" t="s">
        <v>81</v>
      </c>
      <c r="H257" t="s">
        <v>82</v>
      </c>
      <c r="I257" t="s">
        <v>35</v>
      </c>
      <c r="J257" t="s">
        <v>36</v>
      </c>
      <c r="K257">
        <v>3</v>
      </c>
      <c r="L257">
        <v>599</v>
      </c>
      <c r="M257" s="3">
        <v>0.15</v>
      </c>
      <c r="N257">
        <v>1527.45</v>
      </c>
      <c r="O257">
        <v>960</v>
      </c>
      <c r="P257">
        <v>567.45000000000005</v>
      </c>
      <c r="Q257" t="s">
        <v>66</v>
      </c>
      <c r="R257" t="s">
        <v>28</v>
      </c>
      <c r="S257">
        <v>4</v>
      </c>
    </row>
    <row r="258" spans="1:19">
      <c r="A258" t="s">
        <v>551</v>
      </c>
      <c r="B258" s="2">
        <v>45775</v>
      </c>
      <c r="C258" t="s">
        <v>357</v>
      </c>
      <c r="D258" t="s">
        <v>237</v>
      </c>
      <c r="E258" t="s">
        <v>22</v>
      </c>
      <c r="F258">
        <v>42</v>
      </c>
      <c r="G258" t="s">
        <v>251</v>
      </c>
      <c r="H258" t="s">
        <v>251</v>
      </c>
      <c r="I258" t="s">
        <v>25</v>
      </c>
      <c r="J258" t="s">
        <v>26</v>
      </c>
      <c r="K258">
        <v>3</v>
      </c>
      <c r="L258">
        <v>2499</v>
      </c>
      <c r="M258" s="3">
        <v>0</v>
      </c>
      <c r="N258">
        <v>7497</v>
      </c>
      <c r="O258">
        <v>4800</v>
      </c>
      <c r="P258">
        <v>2697</v>
      </c>
      <c r="Q258" t="s">
        <v>69</v>
      </c>
      <c r="R258" t="s">
        <v>137</v>
      </c>
      <c r="S258">
        <v>1</v>
      </c>
    </row>
    <row r="259" spans="1:19">
      <c r="A259" t="s">
        <v>552</v>
      </c>
      <c r="B259" s="2">
        <v>45836</v>
      </c>
      <c r="C259" t="s">
        <v>553</v>
      </c>
      <c r="D259" t="s">
        <v>554</v>
      </c>
      <c r="E259" t="s">
        <v>22</v>
      </c>
      <c r="F259">
        <v>54</v>
      </c>
      <c r="G259" t="s">
        <v>23</v>
      </c>
      <c r="H259" t="s">
        <v>24</v>
      </c>
      <c r="I259" t="s">
        <v>117</v>
      </c>
      <c r="J259" t="s">
        <v>152</v>
      </c>
      <c r="K259">
        <v>2</v>
      </c>
      <c r="L259">
        <v>899</v>
      </c>
      <c r="M259" s="3">
        <v>0.2</v>
      </c>
      <c r="N259">
        <v>1438.4</v>
      </c>
      <c r="O259">
        <v>1000</v>
      </c>
      <c r="P259">
        <v>438.4</v>
      </c>
      <c r="Q259" t="s">
        <v>50</v>
      </c>
      <c r="R259" t="s">
        <v>28</v>
      </c>
      <c r="S259">
        <v>5</v>
      </c>
    </row>
    <row r="260" spans="1:19">
      <c r="A260" t="s">
        <v>555</v>
      </c>
      <c r="B260" s="2">
        <v>45846</v>
      </c>
      <c r="C260" t="s">
        <v>488</v>
      </c>
      <c r="D260" t="s">
        <v>489</v>
      </c>
      <c r="E260" t="s">
        <v>22</v>
      </c>
      <c r="F260">
        <v>48</v>
      </c>
      <c r="G260" t="s">
        <v>115</v>
      </c>
      <c r="H260" t="s">
        <v>116</v>
      </c>
      <c r="I260" t="s">
        <v>35</v>
      </c>
      <c r="J260" t="s">
        <v>136</v>
      </c>
      <c r="K260">
        <v>2</v>
      </c>
      <c r="L260">
        <v>799</v>
      </c>
      <c r="M260" s="3">
        <v>0.15</v>
      </c>
      <c r="N260">
        <v>1358.3</v>
      </c>
      <c r="O260">
        <v>900</v>
      </c>
      <c r="P260">
        <v>458.3</v>
      </c>
      <c r="Q260" t="s">
        <v>27</v>
      </c>
      <c r="R260" t="s">
        <v>28</v>
      </c>
      <c r="S260">
        <v>4</v>
      </c>
    </row>
    <row r="261" spans="1:19">
      <c r="A261" t="s">
        <v>556</v>
      </c>
      <c r="B261" s="2">
        <v>46264</v>
      </c>
      <c r="C261" t="s">
        <v>220</v>
      </c>
      <c r="D261" t="s">
        <v>221</v>
      </c>
      <c r="E261" t="s">
        <v>22</v>
      </c>
      <c r="F261">
        <v>27</v>
      </c>
      <c r="G261" t="s">
        <v>141</v>
      </c>
      <c r="H261" t="s">
        <v>142</v>
      </c>
      <c r="I261" t="s">
        <v>25</v>
      </c>
      <c r="J261" t="s">
        <v>156</v>
      </c>
      <c r="K261">
        <v>2</v>
      </c>
      <c r="L261">
        <v>1999</v>
      </c>
      <c r="M261" s="3">
        <v>0.15</v>
      </c>
      <c r="N261">
        <v>3398.3</v>
      </c>
      <c r="O261">
        <v>2600</v>
      </c>
      <c r="P261">
        <v>798.3</v>
      </c>
      <c r="Q261" t="s">
        <v>66</v>
      </c>
      <c r="R261" t="s">
        <v>28</v>
      </c>
      <c r="S261">
        <v>2</v>
      </c>
    </row>
    <row r="262" spans="1:19">
      <c r="A262" t="s">
        <v>557</v>
      </c>
      <c r="B262" s="2">
        <v>45762</v>
      </c>
      <c r="C262" t="s">
        <v>413</v>
      </c>
      <c r="D262" t="s">
        <v>414</v>
      </c>
      <c r="E262" t="s">
        <v>22</v>
      </c>
      <c r="F262">
        <v>42</v>
      </c>
      <c r="G262" t="s">
        <v>33</v>
      </c>
      <c r="H262" t="s">
        <v>34</v>
      </c>
      <c r="I262" t="s">
        <v>43</v>
      </c>
      <c r="J262" t="s">
        <v>197</v>
      </c>
      <c r="K262">
        <v>1</v>
      </c>
      <c r="L262">
        <v>1799</v>
      </c>
      <c r="M262" s="3">
        <v>0.2</v>
      </c>
      <c r="N262">
        <v>1439.2</v>
      </c>
      <c r="O262">
        <v>1050</v>
      </c>
      <c r="P262">
        <v>389.2</v>
      </c>
      <c r="Q262" t="s">
        <v>50</v>
      </c>
      <c r="R262" t="s">
        <v>28</v>
      </c>
      <c r="S262">
        <v>3</v>
      </c>
    </row>
    <row r="263" spans="1:19">
      <c r="A263" t="s">
        <v>558</v>
      </c>
      <c r="B263" s="2">
        <v>46159</v>
      </c>
      <c r="C263" t="s">
        <v>405</v>
      </c>
      <c r="D263" t="s">
        <v>213</v>
      </c>
      <c r="E263" t="s">
        <v>22</v>
      </c>
      <c r="F263">
        <v>28</v>
      </c>
      <c r="G263" t="s">
        <v>60</v>
      </c>
      <c r="H263" t="s">
        <v>61</v>
      </c>
      <c r="I263" t="s">
        <v>35</v>
      </c>
      <c r="J263" t="s">
        <v>136</v>
      </c>
      <c r="K263">
        <v>1</v>
      </c>
      <c r="L263">
        <v>799</v>
      </c>
      <c r="M263" s="3">
        <v>0.1</v>
      </c>
      <c r="N263">
        <v>719.1</v>
      </c>
      <c r="O263">
        <v>450</v>
      </c>
      <c r="P263">
        <v>269.10000000000002</v>
      </c>
      <c r="Q263" t="s">
        <v>50</v>
      </c>
      <c r="R263" t="s">
        <v>51</v>
      </c>
      <c r="S263">
        <v>3</v>
      </c>
    </row>
    <row r="264" spans="1:19">
      <c r="A264" t="s">
        <v>559</v>
      </c>
      <c r="B264" s="2">
        <v>45774</v>
      </c>
      <c r="C264" t="s">
        <v>527</v>
      </c>
      <c r="D264" t="s">
        <v>528</v>
      </c>
      <c r="E264" t="s">
        <v>22</v>
      </c>
      <c r="F264">
        <v>36</v>
      </c>
      <c r="G264" t="s">
        <v>93</v>
      </c>
      <c r="H264" t="s">
        <v>94</v>
      </c>
      <c r="I264" t="s">
        <v>75</v>
      </c>
      <c r="J264" t="s">
        <v>106</v>
      </c>
      <c r="K264">
        <v>4</v>
      </c>
      <c r="L264">
        <v>899</v>
      </c>
      <c r="M264" s="3">
        <v>0.2</v>
      </c>
      <c r="N264">
        <v>2876.8</v>
      </c>
      <c r="O264">
        <v>2400</v>
      </c>
      <c r="P264">
        <v>476.8</v>
      </c>
      <c r="Q264" t="s">
        <v>37</v>
      </c>
      <c r="R264" t="s">
        <v>28</v>
      </c>
      <c r="S264">
        <v>4</v>
      </c>
    </row>
    <row r="265" spans="1:19">
      <c r="A265" t="s">
        <v>560</v>
      </c>
      <c r="B265" s="2">
        <v>46262</v>
      </c>
      <c r="C265" t="s">
        <v>458</v>
      </c>
      <c r="D265" t="s">
        <v>459</v>
      </c>
      <c r="E265" t="s">
        <v>32</v>
      </c>
      <c r="F265">
        <v>40</v>
      </c>
      <c r="G265" t="s">
        <v>60</v>
      </c>
      <c r="H265" t="s">
        <v>61</v>
      </c>
      <c r="I265" t="s">
        <v>117</v>
      </c>
      <c r="J265" t="s">
        <v>118</v>
      </c>
      <c r="K265">
        <v>3</v>
      </c>
      <c r="L265">
        <v>999</v>
      </c>
      <c r="M265" s="3">
        <v>0.2</v>
      </c>
      <c r="N265">
        <v>2397.6</v>
      </c>
      <c r="O265">
        <v>1650</v>
      </c>
      <c r="P265">
        <v>747.6</v>
      </c>
      <c r="Q265" t="s">
        <v>69</v>
      </c>
      <c r="R265" t="s">
        <v>28</v>
      </c>
      <c r="S265">
        <v>3</v>
      </c>
    </row>
    <row r="266" spans="1:19">
      <c r="A266" t="s">
        <v>561</v>
      </c>
      <c r="B266" s="2">
        <v>45845</v>
      </c>
      <c r="C266" t="s">
        <v>562</v>
      </c>
      <c r="D266" t="s">
        <v>563</v>
      </c>
      <c r="E266" t="s">
        <v>22</v>
      </c>
      <c r="F266">
        <v>27</v>
      </c>
      <c r="G266" t="s">
        <v>180</v>
      </c>
      <c r="H266" t="s">
        <v>181</v>
      </c>
      <c r="I266" t="s">
        <v>43</v>
      </c>
      <c r="J266" t="s">
        <v>281</v>
      </c>
      <c r="K266">
        <v>3</v>
      </c>
      <c r="L266">
        <v>2999</v>
      </c>
      <c r="M266" s="3">
        <v>0</v>
      </c>
      <c r="N266">
        <v>8997</v>
      </c>
      <c r="O266">
        <v>5400</v>
      </c>
      <c r="P266">
        <v>3597</v>
      </c>
      <c r="Q266" t="s">
        <v>37</v>
      </c>
      <c r="R266" t="s">
        <v>28</v>
      </c>
      <c r="S266">
        <v>5</v>
      </c>
    </row>
    <row r="267" spans="1:19">
      <c r="A267" t="s">
        <v>564</v>
      </c>
      <c r="B267" s="2">
        <v>46050</v>
      </c>
      <c r="C267" t="s">
        <v>527</v>
      </c>
      <c r="D267" t="s">
        <v>528</v>
      </c>
      <c r="E267" t="s">
        <v>22</v>
      </c>
      <c r="F267">
        <v>36</v>
      </c>
      <c r="G267" t="s">
        <v>93</v>
      </c>
      <c r="H267" t="s">
        <v>94</v>
      </c>
      <c r="I267" t="s">
        <v>163</v>
      </c>
      <c r="J267" t="s">
        <v>234</v>
      </c>
      <c r="K267">
        <v>2</v>
      </c>
      <c r="L267">
        <v>999</v>
      </c>
      <c r="M267" s="3">
        <v>0.2</v>
      </c>
      <c r="N267">
        <v>1598.4</v>
      </c>
      <c r="O267">
        <v>1200</v>
      </c>
      <c r="P267">
        <v>398.4</v>
      </c>
      <c r="Q267" t="s">
        <v>66</v>
      </c>
      <c r="R267" t="s">
        <v>28</v>
      </c>
      <c r="S267">
        <v>5</v>
      </c>
    </row>
    <row r="268" spans="1:19">
      <c r="A268" t="s">
        <v>565</v>
      </c>
      <c r="B268" s="2">
        <v>45953</v>
      </c>
      <c r="C268" t="s">
        <v>458</v>
      </c>
      <c r="D268" t="s">
        <v>459</v>
      </c>
      <c r="E268" t="s">
        <v>32</v>
      </c>
      <c r="F268">
        <v>40</v>
      </c>
      <c r="G268" t="s">
        <v>60</v>
      </c>
      <c r="H268" t="s">
        <v>61</v>
      </c>
      <c r="I268" t="s">
        <v>35</v>
      </c>
      <c r="J268" t="s">
        <v>126</v>
      </c>
      <c r="K268">
        <v>2</v>
      </c>
      <c r="L268">
        <v>1499</v>
      </c>
      <c r="M268" s="3">
        <v>0.15</v>
      </c>
      <c r="N268">
        <v>2548.3000000000002</v>
      </c>
      <c r="O268">
        <v>1700</v>
      </c>
      <c r="P268">
        <v>848.3</v>
      </c>
      <c r="Q268" t="s">
        <v>27</v>
      </c>
      <c r="R268" t="s">
        <v>28</v>
      </c>
      <c r="S268">
        <v>4</v>
      </c>
    </row>
    <row r="269" spans="1:19">
      <c r="A269" t="s">
        <v>566</v>
      </c>
      <c r="B269" s="2">
        <v>45797</v>
      </c>
      <c r="C269" t="s">
        <v>332</v>
      </c>
      <c r="D269" t="s">
        <v>333</v>
      </c>
      <c r="E269" t="s">
        <v>32</v>
      </c>
      <c r="F269">
        <v>28</v>
      </c>
      <c r="G269" t="s">
        <v>93</v>
      </c>
      <c r="H269" t="s">
        <v>94</v>
      </c>
      <c r="I269" t="s">
        <v>163</v>
      </c>
      <c r="J269" t="s">
        <v>214</v>
      </c>
      <c r="K269">
        <v>1</v>
      </c>
      <c r="L269">
        <v>1499</v>
      </c>
      <c r="M269" s="3">
        <v>0.15</v>
      </c>
      <c r="N269">
        <v>1274.1500000000001</v>
      </c>
      <c r="O269">
        <v>900</v>
      </c>
      <c r="P269">
        <v>374.15</v>
      </c>
      <c r="Q269" t="s">
        <v>27</v>
      </c>
      <c r="R269" t="s">
        <v>137</v>
      </c>
      <c r="S269">
        <v>4</v>
      </c>
    </row>
    <row r="270" spans="1:19">
      <c r="A270" t="s">
        <v>567</v>
      </c>
      <c r="B270" s="2">
        <v>46112</v>
      </c>
      <c r="C270" t="s">
        <v>568</v>
      </c>
      <c r="D270" t="s">
        <v>569</v>
      </c>
      <c r="E270" t="s">
        <v>22</v>
      </c>
      <c r="F270">
        <v>18</v>
      </c>
      <c r="G270" t="s">
        <v>48</v>
      </c>
      <c r="H270" t="s">
        <v>42</v>
      </c>
      <c r="I270" t="s">
        <v>117</v>
      </c>
      <c r="J270" t="s">
        <v>118</v>
      </c>
      <c r="K270">
        <v>4</v>
      </c>
      <c r="L270">
        <v>999</v>
      </c>
      <c r="M270" s="3">
        <v>0.15</v>
      </c>
      <c r="N270">
        <v>3396.6</v>
      </c>
      <c r="O270">
        <v>2200</v>
      </c>
      <c r="P270">
        <v>1196.5999999999999</v>
      </c>
      <c r="Q270" t="s">
        <v>66</v>
      </c>
      <c r="R270" t="s">
        <v>28</v>
      </c>
      <c r="S270">
        <v>5</v>
      </c>
    </row>
    <row r="271" spans="1:19">
      <c r="A271" t="s">
        <v>570</v>
      </c>
      <c r="B271" s="2">
        <v>45939</v>
      </c>
      <c r="C271" t="s">
        <v>186</v>
      </c>
      <c r="D271" t="s">
        <v>187</v>
      </c>
      <c r="E271" t="s">
        <v>22</v>
      </c>
      <c r="F271">
        <v>42</v>
      </c>
      <c r="G271" t="s">
        <v>60</v>
      </c>
      <c r="H271" t="s">
        <v>61</v>
      </c>
      <c r="I271" t="s">
        <v>43</v>
      </c>
      <c r="J271" t="s">
        <v>281</v>
      </c>
      <c r="K271">
        <v>3</v>
      </c>
      <c r="L271">
        <v>2999</v>
      </c>
      <c r="M271" s="3">
        <v>0</v>
      </c>
      <c r="N271">
        <v>8997</v>
      </c>
      <c r="O271">
        <v>5400</v>
      </c>
      <c r="P271">
        <v>3597</v>
      </c>
      <c r="Q271" t="s">
        <v>27</v>
      </c>
      <c r="R271" t="s">
        <v>28</v>
      </c>
      <c r="S271">
        <v>2</v>
      </c>
    </row>
    <row r="272" spans="1:19">
      <c r="A272" t="s">
        <v>571</v>
      </c>
      <c r="B272" s="2">
        <v>46181</v>
      </c>
      <c r="C272" t="s">
        <v>195</v>
      </c>
      <c r="D272" t="s">
        <v>196</v>
      </c>
      <c r="E272" t="s">
        <v>22</v>
      </c>
      <c r="F272">
        <v>54</v>
      </c>
      <c r="G272" t="s">
        <v>73</v>
      </c>
      <c r="H272" t="s">
        <v>74</v>
      </c>
      <c r="I272" t="s">
        <v>75</v>
      </c>
      <c r="J272" t="s">
        <v>86</v>
      </c>
      <c r="K272">
        <v>4</v>
      </c>
      <c r="L272">
        <v>499</v>
      </c>
      <c r="M272" s="3">
        <v>0.2</v>
      </c>
      <c r="N272">
        <v>1596.8</v>
      </c>
      <c r="O272">
        <v>1200</v>
      </c>
      <c r="P272">
        <v>396.8</v>
      </c>
      <c r="Q272" t="s">
        <v>69</v>
      </c>
      <c r="R272" t="s">
        <v>28</v>
      </c>
      <c r="S272">
        <v>3</v>
      </c>
    </row>
    <row r="273" spans="1:19">
      <c r="A273" t="s">
        <v>572</v>
      </c>
      <c r="B273" s="2">
        <v>46217</v>
      </c>
      <c r="C273" t="s">
        <v>573</v>
      </c>
      <c r="D273" t="s">
        <v>92</v>
      </c>
      <c r="E273" t="s">
        <v>32</v>
      </c>
      <c r="F273">
        <v>41</v>
      </c>
      <c r="G273" t="s">
        <v>60</v>
      </c>
      <c r="H273" t="s">
        <v>61</v>
      </c>
      <c r="I273" t="s">
        <v>163</v>
      </c>
      <c r="J273" t="s">
        <v>214</v>
      </c>
      <c r="K273">
        <v>1</v>
      </c>
      <c r="L273">
        <v>1499</v>
      </c>
      <c r="M273" s="3">
        <v>0.15</v>
      </c>
      <c r="N273">
        <v>1274.1500000000001</v>
      </c>
      <c r="O273">
        <v>900</v>
      </c>
      <c r="P273">
        <v>374.15</v>
      </c>
      <c r="Q273" t="s">
        <v>27</v>
      </c>
      <c r="R273" t="s">
        <v>51</v>
      </c>
      <c r="S273">
        <v>1</v>
      </c>
    </row>
    <row r="274" spans="1:19">
      <c r="A274" t="s">
        <v>574</v>
      </c>
      <c r="B274" s="2">
        <v>45927</v>
      </c>
      <c r="C274" t="s">
        <v>79</v>
      </c>
      <c r="D274" t="s">
        <v>80</v>
      </c>
      <c r="E274" t="s">
        <v>22</v>
      </c>
      <c r="F274">
        <v>22</v>
      </c>
      <c r="G274" t="s">
        <v>81</v>
      </c>
      <c r="H274" t="s">
        <v>82</v>
      </c>
      <c r="I274" t="s">
        <v>43</v>
      </c>
      <c r="J274" t="s">
        <v>44</v>
      </c>
      <c r="K274">
        <v>1</v>
      </c>
      <c r="L274">
        <v>1599</v>
      </c>
      <c r="M274" s="3">
        <v>0.15</v>
      </c>
      <c r="N274">
        <v>1359.15</v>
      </c>
      <c r="O274">
        <v>950</v>
      </c>
      <c r="P274">
        <v>409.15</v>
      </c>
      <c r="Q274" t="s">
        <v>37</v>
      </c>
      <c r="R274" t="s">
        <v>137</v>
      </c>
      <c r="S274">
        <v>1</v>
      </c>
    </row>
    <row r="275" spans="1:19">
      <c r="A275" t="s">
        <v>575</v>
      </c>
      <c r="B275" s="2">
        <v>46260</v>
      </c>
      <c r="C275" t="s">
        <v>345</v>
      </c>
      <c r="D275" t="s">
        <v>346</v>
      </c>
      <c r="E275" t="s">
        <v>32</v>
      </c>
      <c r="F275">
        <v>33</v>
      </c>
      <c r="G275" t="s">
        <v>73</v>
      </c>
      <c r="H275" t="s">
        <v>74</v>
      </c>
      <c r="I275" t="s">
        <v>25</v>
      </c>
      <c r="J275" t="s">
        <v>56</v>
      </c>
      <c r="K275">
        <v>2</v>
      </c>
      <c r="L275">
        <v>899</v>
      </c>
      <c r="M275" s="3">
        <v>0.05</v>
      </c>
      <c r="N275">
        <v>1708.1</v>
      </c>
      <c r="O275">
        <v>1100</v>
      </c>
      <c r="P275">
        <v>608.1</v>
      </c>
      <c r="Q275" t="s">
        <v>37</v>
      </c>
      <c r="R275" t="s">
        <v>137</v>
      </c>
      <c r="S275">
        <v>4</v>
      </c>
    </row>
    <row r="276" spans="1:19">
      <c r="A276" t="s">
        <v>576</v>
      </c>
      <c r="B276" s="2">
        <v>45869</v>
      </c>
      <c r="C276" t="s">
        <v>553</v>
      </c>
      <c r="D276" t="s">
        <v>554</v>
      </c>
      <c r="E276" t="s">
        <v>22</v>
      </c>
      <c r="F276">
        <v>54</v>
      </c>
      <c r="G276" t="s">
        <v>23</v>
      </c>
      <c r="H276" t="s">
        <v>24</v>
      </c>
      <c r="I276" t="s">
        <v>75</v>
      </c>
      <c r="J276" t="s">
        <v>106</v>
      </c>
      <c r="K276">
        <v>2</v>
      </c>
      <c r="L276">
        <v>899</v>
      </c>
      <c r="M276" s="3">
        <v>0.05</v>
      </c>
      <c r="N276">
        <v>1708.1</v>
      </c>
      <c r="O276">
        <v>1200</v>
      </c>
      <c r="P276">
        <v>508.1</v>
      </c>
      <c r="Q276" t="s">
        <v>69</v>
      </c>
      <c r="R276" t="s">
        <v>28</v>
      </c>
      <c r="S276">
        <v>5</v>
      </c>
    </row>
    <row r="277" spans="1:19">
      <c r="A277" t="s">
        <v>577</v>
      </c>
      <c r="B277" s="2">
        <v>45957</v>
      </c>
      <c r="C277" t="s">
        <v>120</v>
      </c>
      <c r="D277" t="s">
        <v>121</v>
      </c>
      <c r="E277" t="s">
        <v>32</v>
      </c>
      <c r="F277">
        <v>35</v>
      </c>
      <c r="G277" t="s">
        <v>93</v>
      </c>
      <c r="H277" t="s">
        <v>94</v>
      </c>
      <c r="I277" t="s">
        <v>75</v>
      </c>
      <c r="J277" t="s">
        <v>106</v>
      </c>
      <c r="K277">
        <v>2</v>
      </c>
      <c r="L277">
        <v>899</v>
      </c>
      <c r="M277" s="3">
        <v>0.1</v>
      </c>
      <c r="N277">
        <v>1618.2</v>
      </c>
      <c r="O277">
        <v>1200</v>
      </c>
      <c r="P277">
        <v>418.2</v>
      </c>
      <c r="Q277" t="s">
        <v>37</v>
      </c>
      <c r="R277" t="s">
        <v>28</v>
      </c>
      <c r="S277">
        <v>5</v>
      </c>
    </row>
    <row r="278" spans="1:19">
      <c r="A278" t="s">
        <v>578</v>
      </c>
      <c r="B278" s="2">
        <v>45941</v>
      </c>
      <c r="C278" t="s">
        <v>579</v>
      </c>
      <c r="D278" t="s">
        <v>145</v>
      </c>
      <c r="E278" t="s">
        <v>32</v>
      </c>
      <c r="F278">
        <v>22</v>
      </c>
      <c r="G278" t="s">
        <v>141</v>
      </c>
      <c r="H278" t="s">
        <v>142</v>
      </c>
      <c r="I278" t="s">
        <v>25</v>
      </c>
      <c r="J278" t="s">
        <v>62</v>
      </c>
      <c r="K278">
        <v>4</v>
      </c>
      <c r="L278">
        <v>1299</v>
      </c>
      <c r="M278" s="3">
        <v>0</v>
      </c>
      <c r="N278">
        <v>5196</v>
      </c>
      <c r="O278">
        <v>3200</v>
      </c>
      <c r="P278">
        <v>1996</v>
      </c>
      <c r="Q278" t="s">
        <v>27</v>
      </c>
      <c r="R278" t="s">
        <v>28</v>
      </c>
      <c r="S278">
        <v>2</v>
      </c>
    </row>
    <row r="279" spans="1:19">
      <c r="A279" t="s">
        <v>580</v>
      </c>
      <c r="B279" s="2">
        <v>46060</v>
      </c>
      <c r="C279" t="s">
        <v>79</v>
      </c>
      <c r="D279" t="s">
        <v>80</v>
      </c>
      <c r="E279" t="s">
        <v>22</v>
      </c>
      <c r="F279">
        <v>22</v>
      </c>
      <c r="G279" t="s">
        <v>81</v>
      </c>
      <c r="H279" t="s">
        <v>82</v>
      </c>
      <c r="I279" t="s">
        <v>25</v>
      </c>
      <c r="J279" t="s">
        <v>62</v>
      </c>
      <c r="K279">
        <v>3</v>
      </c>
      <c r="L279">
        <v>1299</v>
      </c>
      <c r="M279" s="3">
        <v>0.05</v>
      </c>
      <c r="N279">
        <v>3702.15</v>
      </c>
      <c r="O279">
        <v>2400</v>
      </c>
      <c r="P279">
        <v>1302.1500000000001</v>
      </c>
      <c r="Q279" t="s">
        <v>66</v>
      </c>
      <c r="R279" t="s">
        <v>28</v>
      </c>
      <c r="S279">
        <v>3</v>
      </c>
    </row>
    <row r="280" spans="1:19">
      <c r="A280" t="s">
        <v>581</v>
      </c>
      <c r="B280" s="2">
        <v>45753</v>
      </c>
      <c r="C280" t="s">
        <v>491</v>
      </c>
      <c r="D280" t="s">
        <v>92</v>
      </c>
      <c r="E280" t="s">
        <v>22</v>
      </c>
      <c r="F280">
        <v>25</v>
      </c>
      <c r="G280" t="s">
        <v>23</v>
      </c>
      <c r="H280" t="s">
        <v>24</v>
      </c>
      <c r="I280" t="s">
        <v>163</v>
      </c>
      <c r="J280" t="s">
        <v>290</v>
      </c>
      <c r="K280">
        <v>4</v>
      </c>
      <c r="L280">
        <v>1999</v>
      </c>
      <c r="M280" s="3">
        <v>0</v>
      </c>
      <c r="N280">
        <v>7996</v>
      </c>
      <c r="O280">
        <v>4800</v>
      </c>
      <c r="P280">
        <v>3196</v>
      </c>
      <c r="Q280" t="s">
        <v>66</v>
      </c>
      <c r="R280" t="s">
        <v>28</v>
      </c>
      <c r="S280">
        <v>3</v>
      </c>
    </row>
    <row r="281" spans="1:19">
      <c r="A281" t="s">
        <v>582</v>
      </c>
      <c r="B281" s="2">
        <v>46253</v>
      </c>
      <c r="C281" t="s">
        <v>30</v>
      </c>
      <c r="D281" t="s">
        <v>31</v>
      </c>
      <c r="E281" t="s">
        <v>32</v>
      </c>
      <c r="F281">
        <v>29</v>
      </c>
      <c r="G281" t="s">
        <v>33</v>
      </c>
      <c r="H281" t="s">
        <v>34</v>
      </c>
      <c r="I281" t="s">
        <v>35</v>
      </c>
      <c r="J281" t="s">
        <v>136</v>
      </c>
      <c r="K281">
        <v>4</v>
      </c>
      <c r="L281">
        <v>799</v>
      </c>
      <c r="M281" s="3">
        <v>0.1</v>
      </c>
      <c r="N281">
        <v>2876.4</v>
      </c>
      <c r="O281">
        <v>1800</v>
      </c>
      <c r="P281">
        <v>1076.4000000000001</v>
      </c>
      <c r="Q281" t="s">
        <v>69</v>
      </c>
      <c r="R281" t="s">
        <v>137</v>
      </c>
      <c r="S281">
        <v>1</v>
      </c>
    </row>
    <row r="282" spans="1:19">
      <c r="A282" t="s">
        <v>583</v>
      </c>
      <c r="B282" s="2">
        <v>46205</v>
      </c>
      <c r="C282" t="s">
        <v>195</v>
      </c>
      <c r="D282" t="s">
        <v>196</v>
      </c>
      <c r="E282" t="s">
        <v>22</v>
      </c>
      <c r="F282">
        <v>54</v>
      </c>
      <c r="G282" t="s">
        <v>73</v>
      </c>
      <c r="H282" t="s">
        <v>74</v>
      </c>
      <c r="I282" t="s">
        <v>75</v>
      </c>
      <c r="J282" t="s">
        <v>76</v>
      </c>
      <c r="K282">
        <v>3</v>
      </c>
      <c r="L282">
        <v>399</v>
      </c>
      <c r="M282" s="3">
        <v>0</v>
      </c>
      <c r="N282">
        <v>1197</v>
      </c>
      <c r="O282">
        <v>660</v>
      </c>
      <c r="P282">
        <v>537</v>
      </c>
      <c r="Q282" t="s">
        <v>66</v>
      </c>
      <c r="R282" t="s">
        <v>28</v>
      </c>
      <c r="S282">
        <v>4</v>
      </c>
    </row>
    <row r="283" spans="1:19">
      <c r="A283" t="s">
        <v>584</v>
      </c>
      <c r="B283" s="2">
        <v>45948</v>
      </c>
      <c r="C283" t="s">
        <v>585</v>
      </c>
      <c r="D283" t="s">
        <v>586</v>
      </c>
      <c r="E283" t="s">
        <v>32</v>
      </c>
      <c r="F283">
        <v>31</v>
      </c>
      <c r="G283" t="s">
        <v>48</v>
      </c>
      <c r="H283" t="s">
        <v>42</v>
      </c>
      <c r="I283" t="s">
        <v>35</v>
      </c>
      <c r="J283" t="s">
        <v>36</v>
      </c>
      <c r="K283">
        <v>3</v>
      </c>
      <c r="L283">
        <v>599</v>
      </c>
      <c r="M283" s="3">
        <v>0.1</v>
      </c>
      <c r="N283">
        <v>1617.3</v>
      </c>
      <c r="O283">
        <v>960</v>
      </c>
      <c r="P283">
        <v>657.3</v>
      </c>
      <c r="Q283" t="s">
        <v>37</v>
      </c>
      <c r="R283" t="s">
        <v>28</v>
      </c>
      <c r="S283">
        <v>2</v>
      </c>
    </row>
    <row r="284" spans="1:19">
      <c r="A284" t="s">
        <v>587</v>
      </c>
      <c r="B284" s="2">
        <v>45705</v>
      </c>
      <c r="C284" t="s">
        <v>287</v>
      </c>
      <c r="D284" t="s">
        <v>190</v>
      </c>
      <c r="E284" t="s">
        <v>32</v>
      </c>
      <c r="F284">
        <v>39</v>
      </c>
      <c r="G284" t="s">
        <v>81</v>
      </c>
      <c r="H284" t="s">
        <v>82</v>
      </c>
      <c r="I284" t="s">
        <v>35</v>
      </c>
      <c r="J284" t="s">
        <v>36</v>
      </c>
      <c r="K284">
        <v>3</v>
      </c>
      <c r="L284">
        <v>599</v>
      </c>
      <c r="M284" s="3">
        <v>0</v>
      </c>
      <c r="N284">
        <v>1797</v>
      </c>
      <c r="O284">
        <v>960</v>
      </c>
      <c r="P284">
        <v>837</v>
      </c>
      <c r="Q284" t="s">
        <v>69</v>
      </c>
      <c r="R284" t="s">
        <v>28</v>
      </c>
      <c r="S284">
        <v>4</v>
      </c>
    </row>
    <row r="285" spans="1:19">
      <c r="A285" t="s">
        <v>588</v>
      </c>
      <c r="B285" s="2">
        <v>46125</v>
      </c>
      <c r="C285" t="s">
        <v>20</v>
      </c>
      <c r="D285" t="s">
        <v>21</v>
      </c>
      <c r="E285" t="s">
        <v>22</v>
      </c>
      <c r="F285">
        <v>52</v>
      </c>
      <c r="G285" t="s">
        <v>23</v>
      </c>
      <c r="H285" t="s">
        <v>24</v>
      </c>
      <c r="I285" t="s">
        <v>25</v>
      </c>
      <c r="J285" t="s">
        <v>56</v>
      </c>
      <c r="K285">
        <v>2</v>
      </c>
      <c r="L285">
        <v>899</v>
      </c>
      <c r="M285" s="3">
        <v>0.15</v>
      </c>
      <c r="N285">
        <v>1528.3</v>
      </c>
      <c r="O285">
        <v>1100</v>
      </c>
      <c r="P285">
        <v>428.3</v>
      </c>
      <c r="Q285" t="s">
        <v>69</v>
      </c>
      <c r="R285" t="s">
        <v>51</v>
      </c>
      <c r="S285">
        <v>4</v>
      </c>
    </row>
    <row r="286" spans="1:19">
      <c r="A286" t="s">
        <v>589</v>
      </c>
      <c r="B286" s="2">
        <v>45820</v>
      </c>
      <c r="C286" t="s">
        <v>216</v>
      </c>
      <c r="D286" t="s">
        <v>217</v>
      </c>
      <c r="E286" t="s">
        <v>22</v>
      </c>
      <c r="F286">
        <v>43</v>
      </c>
      <c r="G286" t="s">
        <v>115</v>
      </c>
      <c r="H286" t="s">
        <v>116</v>
      </c>
      <c r="I286" t="s">
        <v>117</v>
      </c>
      <c r="J286" t="s">
        <v>238</v>
      </c>
      <c r="K286">
        <v>2</v>
      </c>
      <c r="L286">
        <v>2499</v>
      </c>
      <c r="M286" s="3">
        <v>0.1</v>
      </c>
      <c r="N286">
        <v>4498.2</v>
      </c>
      <c r="O286">
        <v>3000</v>
      </c>
      <c r="P286">
        <v>1498.2</v>
      </c>
      <c r="Q286" t="s">
        <v>37</v>
      </c>
      <c r="R286" t="s">
        <v>28</v>
      </c>
      <c r="S286">
        <v>3</v>
      </c>
    </row>
    <row r="287" spans="1:19">
      <c r="A287" t="s">
        <v>590</v>
      </c>
      <c r="B287" s="2">
        <v>45711</v>
      </c>
      <c r="C287" t="s">
        <v>209</v>
      </c>
      <c r="D287" t="s">
        <v>210</v>
      </c>
      <c r="E287" t="s">
        <v>32</v>
      </c>
      <c r="F287">
        <v>26</v>
      </c>
      <c r="G287" t="s">
        <v>23</v>
      </c>
      <c r="H287" t="s">
        <v>24</v>
      </c>
      <c r="I287" t="s">
        <v>25</v>
      </c>
      <c r="J287" t="s">
        <v>26</v>
      </c>
      <c r="K287">
        <v>3</v>
      </c>
      <c r="L287">
        <v>2499</v>
      </c>
      <c r="M287" s="3">
        <v>0.05</v>
      </c>
      <c r="N287">
        <v>7122.15</v>
      </c>
      <c r="O287">
        <v>4800</v>
      </c>
      <c r="P287">
        <v>2322.15</v>
      </c>
      <c r="Q287" t="s">
        <v>66</v>
      </c>
      <c r="R287" t="s">
        <v>28</v>
      </c>
      <c r="S287">
        <v>2</v>
      </c>
    </row>
    <row r="288" spans="1:19">
      <c r="A288" t="s">
        <v>591</v>
      </c>
      <c r="B288" s="2">
        <v>45659</v>
      </c>
      <c r="C288" t="s">
        <v>488</v>
      </c>
      <c r="D288" t="s">
        <v>489</v>
      </c>
      <c r="E288" t="s">
        <v>22</v>
      </c>
      <c r="F288">
        <v>48</v>
      </c>
      <c r="G288" t="s">
        <v>115</v>
      </c>
      <c r="H288" t="s">
        <v>116</v>
      </c>
      <c r="I288" t="s">
        <v>75</v>
      </c>
      <c r="J288" t="s">
        <v>76</v>
      </c>
      <c r="K288">
        <v>1</v>
      </c>
      <c r="L288">
        <v>399</v>
      </c>
      <c r="M288" s="3">
        <v>0</v>
      </c>
      <c r="N288">
        <v>399</v>
      </c>
      <c r="O288">
        <v>220</v>
      </c>
      <c r="P288">
        <v>179</v>
      </c>
      <c r="Q288" t="s">
        <v>27</v>
      </c>
      <c r="R288" t="s">
        <v>28</v>
      </c>
      <c r="S288">
        <v>2</v>
      </c>
    </row>
    <row r="289" spans="1:19">
      <c r="A289" t="s">
        <v>592</v>
      </c>
      <c r="B289" s="2">
        <v>45666</v>
      </c>
      <c r="C289" t="s">
        <v>479</v>
      </c>
      <c r="D289" t="s">
        <v>480</v>
      </c>
      <c r="E289" t="s">
        <v>22</v>
      </c>
      <c r="F289">
        <v>29</v>
      </c>
      <c r="G289" t="s">
        <v>146</v>
      </c>
      <c r="H289" t="s">
        <v>61</v>
      </c>
      <c r="I289" t="s">
        <v>35</v>
      </c>
      <c r="J289" t="s">
        <v>108</v>
      </c>
      <c r="K289">
        <v>4</v>
      </c>
      <c r="L289">
        <v>699</v>
      </c>
      <c r="M289" s="3">
        <v>0</v>
      </c>
      <c r="N289">
        <v>2796</v>
      </c>
      <c r="O289">
        <v>1520</v>
      </c>
      <c r="P289">
        <v>1276</v>
      </c>
      <c r="Q289" t="s">
        <v>37</v>
      </c>
      <c r="R289" t="s">
        <v>137</v>
      </c>
      <c r="S289">
        <v>4</v>
      </c>
    </row>
    <row r="290" spans="1:19">
      <c r="A290" t="s">
        <v>593</v>
      </c>
      <c r="B290" s="2">
        <v>46050</v>
      </c>
      <c r="C290" t="s">
        <v>342</v>
      </c>
      <c r="D290" t="s">
        <v>343</v>
      </c>
      <c r="E290" t="s">
        <v>22</v>
      </c>
      <c r="F290">
        <v>23</v>
      </c>
      <c r="G290" t="s">
        <v>48</v>
      </c>
      <c r="H290" t="s">
        <v>42</v>
      </c>
      <c r="I290" t="s">
        <v>35</v>
      </c>
      <c r="J290" t="s">
        <v>36</v>
      </c>
      <c r="K290">
        <v>1</v>
      </c>
      <c r="L290">
        <v>599</v>
      </c>
      <c r="M290" s="3">
        <v>0.05</v>
      </c>
      <c r="N290">
        <v>569.04999999999995</v>
      </c>
      <c r="O290">
        <v>320</v>
      </c>
      <c r="P290">
        <v>249.05</v>
      </c>
      <c r="Q290" t="s">
        <v>69</v>
      </c>
      <c r="R290" t="s">
        <v>28</v>
      </c>
      <c r="S290">
        <v>1</v>
      </c>
    </row>
    <row r="291" spans="1:19">
      <c r="A291" t="s">
        <v>594</v>
      </c>
      <c r="B291" s="2">
        <v>45798</v>
      </c>
      <c r="C291" t="s">
        <v>595</v>
      </c>
      <c r="D291" t="s">
        <v>596</v>
      </c>
      <c r="E291" t="s">
        <v>22</v>
      </c>
      <c r="F291">
        <v>25</v>
      </c>
      <c r="G291" t="s">
        <v>180</v>
      </c>
      <c r="H291" t="s">
        <v>181</v>
      </c>
      <c r="I291" t="s">
        <v>163</v>
      </c>
      <c r="J291" t="s">
        <v>164</v>
      </c>
      <c r="K291">
        <v>3</v>
      </c>
      <c r="L291">
        <v>3499</v>
      </c>
      <c r="M291" s="3">
        <v>0.1</v>
      </c>
      <c r="N291">
        <v>9447.2999999999993</v>
      </c>
      <c r="O291">
        <v>6600</v>
      </c>
      <c r="P291">
        <v>2847.3</v>
      </c>
      <c r="Q291" t="s">
        <v>66</v>
      </c>
      <c r="R291" t="s">
        <v>28</v>
      </c>
      <c r="S291">
        <v>2</v>
      </c>
    </row>
    <row r="292" spans="1:19">
      <c r="A292" t="s">
        <v>597</v>
      </c>
      <c r="B292" s="2">
        <v>45826</v>
      </c>
      <c r="C292" t="s">
        <v>598</v>
      </c>
      <c r="D292" t="s">
        <v>225</v>
      </c>
      <c r="E292" t="s">
        <v>22</v>
      </c>
      <c r="F292">
        <v>37</v>
      </c>
      <c r="G292" t="s">
        <v>48</v>
      </c>
      <c r="H292" t="s">
        <v>42</v>
      </c>
      <c r="I292" t="s">
        <v>25</v>
      </c>
      <c r="J292" t="s">
        <v>26</v>
      </c>
      <c r="K292">
        <v>1</v>
      </c>
      <c r="L292">
        <v>2499</v>
      </c>
      <c r="M292" s="3">
        <v>0.2</v>
      </c>
      <c r="N292">
        <v>1999.2</v>
      </c>
      <c r="O292">
        <v>1600</v>
      </c>
      <c r="P292">
        <v>399.2</v>
      </c>
      <c r="Q292" t="s">
        <v>66</v>
      </c>
      <c r="R292" t="s">
        <v>28</v>
      </c>
      <c r="S292">
        <v>2</v>
      </c>
    </row>
    <row r="293" spans="1:19">
      <c r="A293" t="s">
        <v>599</v>
      </c>
      <c r="B293" s="2">
        <v>45746</v>
      </c>
      <c r="C293" t="s">
        <v>158</v>
      </c>
      <c r="D293" t="s">
        <v>159</v>
      </c>
      <c r="E293" t="s">
        <v>32</v>
      </c>
      <c r="F293">
        <v>19</v>
      </c>
      <c r="G293" t="s">
        <v>60</v>
      </c>
      <c r="H293" t="s">
        <v>61</v>
      </c>
      <c r="I293" t="s">
        <v>163</v>
      </c>
      <c r="J293" t="s">
        <v>234</v>
      </c>
      <c r="K293">
        <v>4</v>
      </c>
      <c r="L293">
        <v>999</v>
      </c>
      <c r="M293" s="3">
        <v>0.05</v>
      </c>
      <c r="N293">
        <v>3796.2</v>
      </c>
      <c r="O293">
        <v>2400</v>
      </c>
      <c r="P293">
        <v>1396.2</v>
      </c>
      <c r="Q293" t="s">
        <v>69</v>
      </c>
      <c r="R293" t="s">
        <v>28</v>
      </c>
      <c r="S293">
        <v>1</v>
      </c>
    </row>
    <row r="294" spans="1:19">
      <c r="A294" t="s">
        <v>600</v>
      </c>
      <c r="B294" s="2">
        <v>45801</v>
      </c>
      <c r="C294" t="s">
        <v>202</v>
      </c>
      <c r="D294" t="s">
        <v>89</v>
      </c>
      <c r="E294" t="s">
        <v>22</v>
      </c>
      <c r="F294">
        <v>50</v>
      </c>
      <c r="G294" t="s">
        <v>93</v>
      </c>
      <c r="H294" t="s">
        <v>94</v>
      </c>
      <c r="I294" t="s">
        <v>163</v>
      </c>
      <c r="J294" t="s">
        <v>214</v>
      </c>
      <c r="K294">
        <v>4</v>
      </c>
      <c r="L294">
        <v>1499</v>
      </c>
      <c r="M294" s="3">
        <v>0.1</v>
      </c>
      <c r="N294">
        <v>5396.4</v>
      </c>
      <c r="O294">
        <v>3600</v>
      </c>
      <c r="P294">
        <v>1796.4</v>
      </c>
      <c r="Q294" t="s">
        <v>27</v>
      </c>
      <c r="R294" t="s">
        <v>28</v>
      </c>
      <c r="S294">
        <v>1</v>
      </c>
    </row>
    <row r="295" spans="1:19">
      <c r="A295" t="s">
        <v>601</v>
      </c>
      <c r="B295" s="2">
        <v>45966</v>
      </c>
      <c r="C295" t="s">
        <v>79</v>
      </c>
      <c r="D295" t="s">
        <v>80</v>
      </c>
      <c r="E295" t="s">
        <v>22</v>
      </c>
      <c r="F295">
        <v>22</v>
      </c>
      <c r="G295" t="s">
        <v>81</v>
      </c>
      <c r="H295" t="s">
        <v>82</v>
      </c>
      <c r="I295" t="s">
        <v>35</v>
      </c>
      <c r="J295" t="s">
        <v>126</v>
      </c>
      <c r="K295">
        <v>3</v>
      </c>
      <c r="L295">
        <v>1499</v>
      </c>
      <c r="M295" s="3">
        <v>0</v>
      </c>
      <c r="N295">
        <v>4497</v>
      </c>
      <c r="O295">
        <v>2550</v>
      </c>
      <c r="P295">
        <v>1947</v>
      </c>
      <c r="Q295" t="s">
        <v>27</v>
      </c>
      <c r="R295" t="s">
        <v>28</v>
      </c>
      <c r="S295">
        <v>5</v>
      </c>
    </row>
    <row r="296" spans="1:19">
      <c r="A296" t="s">
        <v>602</v>
      </c>
      <c r="B296" s="2">
        <v>45713</v>
      </c>
      <c r="C296" t="s">
        <v>603</v>
      </c>
      <c r="D296" t="s">
        <v>604</v>
      </c>
      <c r="E296" t="s">
        <v>32</v>
      </c>
      <c r="F296">
        <v>33</v>
      </c>
      <c r="G296" t="s">
        <v>41</v>
      </c>
      <c r="H296" t="s">
        <v>42</v>
      </c>
      <c r="I296" t="s">
        <v>117</v>
      </c>
      <c r="J296" t="s">
        <v>152</v>
      </c>
      <c r="K296">
        <v>4</v>
      </c>
      <c r="L296">
        <v>899</v>
      </c>
      <c r="M296" s="3">
        <v>0.1</v>
      </c>
      <c r="N296">
        <v>3236.4</v>
      </c>
      <c r="O296">
        <v>2000</v>
      </c>
      <c r="P296">
        <v>1236.4000000000001</v>
      </c>
      <c r="Q296" t="s">
        <v>27</v>
      </c>
      <c r="R296" t="s">
        <v>28</v>
      </c>
      <c r="S296">
        <v>1</v>
      </c>
    </row>
    <row r="297" spans="1:19">
      <c r="A297" t="s">
        <v>605</v>
      </c>
      <c r="B297" s="2">
        <v>45670</v>
      </c>
      <c r="C297" t="s">
        <v>363</v>
      </c>
      <c r="D297" t="s">
        <v>155</v>
      </c>
      <c r="E297" t="s">
        <v>32</v>
      </c>
      <c r="F297">
        <v>43</v>
      </c>
      <c r="G297" t="s">
        <v>48</v>
      </c>
      <c r="H297" t="s">
        <v>42</v>
      </c>
      <c r="I297" t="s">
        <v>35</v>
      </c>
      <c r="J297" t="s">
        <v>36</v>
      </c>
      <c r="K297">
        <v>1</v>
      </c>
      <c r="L297">
        <v>599</v>
      </c>
      <c r="M297" s="3">
        <v>0.2</v>
      </c>
      <c r="N297">
        <v>479.2</v>
      </c>
      <c r="O297">
        <v>320</v>
      </c>
      <c r="P297">
        <v>159.19999999999999</v>
      </c>
      <c r="Q297" t="s">
        <v>37</v>
      </c>
      <c r="R297" t="s">
        <v>77</v>
      </c>
      <c r="S297">
        <v>2</v>
      </c>
    </row>
    <row r="298" spans="1:19">
      <c r="A298" t="s">
        <v>606</v>
      </c>
      <c r="B298" s="2">
        <v>46217</v>
      </c>
      <c r="C298" t="s">
        <v>527</v>
      </c>
      <c r="D298" t="s">
        <v>528</v>
      </c>
      <c r="E298" t="s">
        <v>22</v>
      </c>
      <c r="F298">
        <v>36</v>
      </c>
      <c r="G298" t="s">
        <v>93</v>
      </c>
      <c r="H298" t="s">
        <v>94</v>
      </c>
      <c r="I298" t="s">
        <v>75</v>
      </c>
      <c r="J298" t="s">
        <v>86</v>
      </c>
      <c r="K298">
        <v>4</v>
      </c>
      <c r="L298">
        <v>499</v>
      </c>
      <c r="M298" s="3">
        <v>0.1</v>
      </c>
      <c r="N298">
        <v>1796.4</v>
      </c>
      <c r="O298">
        <v>1200</v>
      </c>
      <c r="P298">
        <v>596.4</v>
      </c>
      <c r="Q298" t="s">
        <v>27</v>
      </c>
      <c r="R298" t="s">
        <v>28</v>
      </c>
      <c r="S298">
        <v>1</v>
      </c>
    </row>
    <row r="299" spans="1:19">
      <c r="A299" t="s">
        <v>607</v>
      </c>
      <c r="B299" s="2">
        <v>45926</v>
      </c>
      <c r="C299" t="s">
        <v>20</v>
      </c>
      <c r="D299" t="s">
        <v>21</v>
      </c>
      <c r="E299" t="s">
        <v>22</v>
      </c>
      <c r="F299">
        <v>52</v>
      </c>
      <c r="G299" t="s">
        <v>23</v>
      </c>
      <c r="H299" t="s">
        <v>24</v>
      </c>
      <c r="I299" t="s">
        <v>75</v>
      </c>
      <c r="J299" t="s">
        <v>86</v>
      </c>
      <c r="K299">
        <v>1</v>
      </c>
      <c r="L299">
        <v>499</v>
      </c>
      <c r="M299" s="3">
        <v>0</v>
      </c>
      <c r="N299">
        <v>499</v>
      </c>
      <c r="O299">
        <v>300</v>
      </c>
      <c r="P299">
        <v>199</v>
      </c>
      <c r="Q299" t="s">
        <v>27</v>
      </c>
      <c r="R299" t="s">
        <v>28</v>
      </c>
      <c r="S299">
        <v>1</v>
      </c>
    </row>
    <row r="300" spans="1:19">
      <c r="A300" t="s">
        <v>608</v>
      </c>
      <c r="B300" s="2">
        <v>46083</v>
      </c>
      <c r="C300" t="s">
        <v>220</v>
      </c>
      <c r="D300" t="s">
        <v>221</v>
      </c>
      <c r="E300" t="s">
        <v>22</v>
      </c>
      <c r="F300">
        <v>27</v>
      </c>
      <c r="G300" t="s">
        <v>141</v>
      </c>
      <c r="H300" t="s">
        <v>142</v>
      </c>
      <c r="I300" t="s">
        <v>35</v>
      </c>
      <c r="J300" t="s">
        <v>108</v>
      </c>
      <c r="K300">
        <v>3</v>
      </c>
      <c r="L300">
        <v>699</v>
      </c>
      <c r="M300" s="3">
        <v>0.2</v>
      </c>
      <c r="N300">
        <v>1677.6</v>
      </c>
      <c r="O300">
        <v>1140</v>
      </c>
      <c r="P300">
        <v>537.6</v>
      </c>
      <c r="Q300" t="s">
        <v>66</v>
      </c>
      <c r="R300" t="s">
        <v>28</v>
      </c>
      <c r="S300">
        <v>1</v>
      </c>
    </row>
    <row r="301" spans="1:19">
      <c r="A301" t="s">
        <v>609</v>
      </c>
      <c r="B301" s="2">
        <v>45743</v>
      </c>
      <c r="C301" t="s">
        <v>467</v>
      </c>
      <c r="D301" t="s">
        <v>322</v>
      </c>
      <c r="E301" t="s">
        <v>32</v>
      </c>
      <c r="F301">
        <v>41</v>
      </c>
      <c r="G301" t="s">
        <v>55</v>
      </c>
      <c r="H301" t="s">
        <v>34</v>
      </c>
      <c r="I301" t="s">
        <v>35</v>
      </c>
      <c r="J301" t="s">
        <v>126</v>
      </c>
      <c r="K301">
        <v>2</v>
      </c>
      <c r="L301">
        <v>1499</v>
      </c>
      <c r="M301" s="3">
        <v>0.1</v>
      </c>
      <c r="N301">
        <v>2698.2</v>
      </c>
      <c r="O301">
        <v>1700</v>
      </c>
      <c r="P301">
        <v>998.2</v>
      </c>
      <c r="Q301" t="s">
        <v>37</v>
      </c>
      <c r="R301" t="s">
        <v>28</v>
      </c>
      <c r="S301">
        <v>2</v>
      </c>
    </row>
    <row r="302" spans="1:19">
      <c r="A302" t="s">
        <v>610</v>
      </c>
      <c r="B302" s="2">
        <v>46258</v>
      </c>
      <c r="C302" t="s">
        <v>315</v>
      </c>
      <c r="D302" t="s">
        <v>305</v>
      </c>
      <c r="E302" t="s">
        <v>22</v>
      </c>
      <c r="F302">
        <v>18</v>
      </c>
      <c r="G302" t="s">
        <v>48</v>
      </c>
      <c r="H302" t="s">
        <v>42</v>
      </c>
      <c r="I302" t="s">
        <v>35</v>
      </c>
      <c r="J302" t="s">
        <v>126</v>
      </c>
      <c r="K302">
        <v>3</v>
      </c>
      <c r="L302">
        <v>1499</v>
      </c>
      <c r="M302" s="3">
        <v>0.15</v>
      </c>
      <c r="N302">
        <v>3822.45</v>
      </c>
      <c r="O302">
        <v>2550</v>
      </c>
      <c r="P302">
        <v>1272.45</v>
      </c>
      <c r="Q302" t="s">
        <v>69</v>
      </c>
      <c r="R302" t="s">
        <v>28</v>
      </c>
      <c r="S302">
        <v>4</v>
      </c>
    </row>
    <row r="303" spans="1:19">
      <c r="A303" t="s">
        <v>611</v>
      </c>
      <c r="B303" s="2">
        <v>46102</v>
      </c>
      <c r="C303" t="s">
        <v>363</v>
      </c>
      <c r="D303" t="s">
        <v>155</v>
      </c>
      <c r="E303" t="s">
        <v>32</v>
      </c>
      <c r="F303">
        <v>43</v>
      </c>
      <c r="G303" t="s">
        <v>48</v>
      </c>
      <c r="H303" t="s">
        <v>42</v>
      </c>
      <c r="I303" t="s">
        <v>25</v>
      </c>
      <c r="J303" t="s">
        <v>68</v>
      </c>
      <c r="K303">
        <v>2</v>
      </c>
      <c r="L303">
        <v>2999</v>
      </c>
      <c r="M303" s="3">
        <v>0</v>
      </c>
      <c r="N303">
        <v>5998</v>
      </c>
      <c r="O303">
        <v>3800</v>
      </c>
      <c r="P303">
        <v>2198</v>
      </c>
      <c r="Q303" t="s">
        <v>69</v>
      </c>
      <c r="R303" t="s">
        <v>28</v>
      </c>
      <c r="S303">
        <v>5</v>
      </c>
    </row>
    <row r="304" spans="1:19">
      <c r="A304" t="s">
        <v>612</v>
      </c>
      <c r="B304" s="2">
        <v>45670</v>
      </c>
      <c r="C304" t="s">
        <v>384</v>
      </c>
      <c r="D304" t="s">
        <v>385</v>
      </c>
      <c r="E304" t="s">
        <v>32</v>
      </c>
      <c r="F304">
        <v>22</v>
      </c>
      <c r="G304" t="s">
        <v>48</v>
      </c>
      <c r="H304" t="s">
        <v>42</v>
      </c>
      <c r="I304" t="s">
        <v>43</v>
      </c>
      <c r="J304" t="s">
        <v>44</v>
      </c>
      <c r="K304">
        <v>2</v>
      </c>
      <c r="L304">
        <v>1599</v>
      </c>
      <c r="M304" s="3">
        <v>0</v>
      </c>
      <c r="N304">
        <v>3198</v>
      </c>
      <c r="O304">
        <v>1900</v>
      </c>
      <c r="P304">
        <v>1298</v>
      </c>
      <c r="Q304" t="s">
        <v>27</v>
      </c>
      <c r="R304" t="s">
        <v>28</v>
      </c>
      <c r="S304">
        <v>2</v>
      </c>
    </row>
    <row r="305" spans="1:19">
      <c r="A305" t="s">
        <v>613</v>
      </c>
      <c r="B305" s="2">
        <v>46038</v>
      </c>
      <c r="C305" t="s">
        <v>207</v>
      </c>
      <c r="D305" t="s">
        <v>72</v>
      </c>
      <c r="E305" t="s">
        <v>22</v>
      </c>
      <c r="F305">
        <v>48</v>
      </c>
      <c r="G305" t="s">
        <v>180</v>
      </c>
      <c r="H305" t="s">
        <v>181</v>
      </c>
      <c r="I305" t="s">
        <v>163</v>
      </c>
      <c r="J305" t="s">
        <v>214</v>
      </c>
      <c r="K305">
        <v>3</v>
      </c>
      <c r="L305">
        <v>1499</v>
      </c>
      <c r="M305" s="3">
        <v>0.05</v>
      </c>
      <c r="N305">
        <v>4272.1499999999996</v>
      </c>
      <c r="O305">
        <v>2700</v>
      </c>
      <c r="P305">
        <v>1572.15</v>
      </c>
      <c r="Q305" t="s">
        <v>27</v>
      </c>
      <c r="R305" t="s">
        <v>28</v>
      </c>
      <c r="S305">
        <v>3</v>
      </c>
    </row>
    <row r="306" spans="1:19">
      <c r="A306" t="s">
        <v>614</v>
      </c>
      <c r="B306" s="2">
        <v>45936</v>
      </c>
      <c r="C306" t="s">
        <v>562</v>
      </c>
      <c r="D306" t="s">
        <v>563</v>
      </c>
      <c r="E306" t="s">
        <v>22</v>
      </c>
      <c r="F306">
        <v>27</v>
      </c>
      <c r="G306" t="s">
        <v>180</v>
      </c>
      <c r="H306" t="s">
        <v>181</v>
      </c>
      <c r="I306" t="s">
        <v>25</v>
      </c>
      <c r="J306" t="s">
        <v>156</v>
      </c>
      <c r="K306">
        <v>3</v>
      </c>
      <c r="L306">
        <v>1999</v>
      </c>
      <c r="M306" s="3">
        <v>0.15</v>
      </c>
      <c r="N306">
        <v>5097.45</v>
      </c>
      <c r="O306">
        <v>3900</v>
      </c>
      <c r="P306">
        <v>1197.45</v>
      </c>
      <c r="Q306" t="s">
        <v>50</v>
      </c>
      <c r="R306" t="s">
        <v>28</v>
      </c>
      <c r="S306">
        <v>5</v>
      </c>
    </row>
    <row r="307" spans="1:19">
      <c r="A307" t="s">
        <v>615</v>
      </c>
      <c r="B307" s="2">
        <v>46026</v>
      </c>
      <c r="C307" t="s">
        <v>91</v>
      </c>
      <c r="D307" t="s">
        <v>92</v>
      </c>
      <c r="E307" t="s">
        <v>32</v>
      </c>
      <c r="F307">
        <v>43</v>
      </c>
      <c r="G307" t="s">
        <v>93</v>
      </c>
      <c r="H307" t="s">
        <v>94</v>
      </c>
      <c r="I307" t="s">
        <v>35</v>
      </c>
      <c r="J307" t="s">
        <v>36</v>
      </c>
      <c r="K307">
        <v>4</v>
      </c>
      <c r="L307">
        <v>599</v>
      </c>
      <c r="M307" s="3">
        <v>0.2</v>
      </c>
      <c r="N307">
        <v>1916.8</v>
      </c>
      <c r="O307">
        <v>1280</v>
      </c>
      <c r="P307">
        <v>636.79999999999995</v>
      </c>
      <c r="Q307" t="s">
        <v>69</v>
      </c>
      <c r="R307" t="s">
        <v>28</v>
      </c>
      <c r="S307">
        <v>5</v>
      </c>
    </row>
    <row r="308" spans="1:19">
      <c r="A308" t="s">
        <v>616</v>
      </c>
      <c r="B308" s="2">
        <v>45763</v>
      </c>
      <c r="C308" t="s">
        <v>553</v>
      </c>
      <c r="D308" t="s">
        <v>554</v>
      </c>
      <c r="E308" t="s">
        <v>22</v>
      </c>
      <c r="F308">
        <v>54</v>
      </c>
      <c r="G308" t="s">
        <v>23</v>
      </c>
      <c r="H308" t="s">
        <v>24</v>
      </c>
      <c r="I308" t="s">
        <v>163</v>
      </c>
      <c r="J308" t="s">
        <v>214</v>
      </c>
      <c r="K308">
        <v>2</v>
      </c>
      <c r="L308">
        <v>1499</v>
      </c>
      <c r="M308" s="3">
        <v>0.1</v>
      </c>
      <c r="N308">
        <v>2698.2</v>
      </c>
      <c r="O308">
        <v>1800</v>
      </c>
      <c r="P308">
        <v>898.2</v>
      </c>
      <c r="Q308" t="s">
        <v>50</v>
      </c>
      <c r="R308" t="s">
        <v>28</v>
      </c>
      <c r="S308">
        <v>1</v>
      </c>
    </row>
    <row r="309" spans="1:19">
      <c r="A309" t="s">
        <v>617</v>
      </c>
      <c r="B309" s="2">
        <v>45670</v>
      </c>
      <c r="C309" t="s">
        <v>183</v>
      </c>
      <c r="D309" t="s">
        <v>184</v>
      </c>
      <c r="E309" t="s">
        <v>22</v>
      </c>
      <c r="F309">
        <v>43</v>
      </c>
      <c r="G309" t="s">
        <v>60</v>
      </c>
      <c r="H309" t="s">
        <v>61</v>
      </c>
      <c r="I309" t="s">
        <v>117</v>
      </c>
      <c r="J309" t="s">
        <v>152</v>
      </c>
      <c r="K309">
        <v>1</v>
      </c>
      <c r="L309">
        <v>899</v>
      </c>
      <c r="M309" s="3">
        <v>0</v>
      </c>
      <c r="N309">
        <v>899</v>
      </c>
      <c r="O309">
        <v>500</v>
      </c>
      <c r="P309">
        <v>399</v>
      </c>
      <c r="Q309" t="s">
        <v>27</v>
      </c>
      <c r="R309" t="s">
        <v>28</v>
      </c>
      <c r="S309">
        <v>3</v>
      </c>
    </row>
    <row r="310" spans="1:19">
      <c r="A310" t="s">
        <v>618</v>
      </c>
      <c r="B310" s="2">
        <v>46224</v>
      </c>
      <c r="C310" t="s">
        <v>202</v>
      </c>
      <c r="D310" t="s">
        <v>89</v>
      </c>
      <c r="E310" t="s">
        <v>22</v>
      </c>
      <c r="F310">
        <v>50</v>
      </c>
      <c r="G310" t="s">
        <v>93</v>
      </c>
      <c r="H310" t="s">
        <v>94</v>
      </c>
      <c r="I310" t="s">
        <v>25</v>
      </c>
      <c r="J310" t="s">
        <v>62</v>
      </c>
      <c r="K310">
        <v>2</v>
      </c>
      <c r="L310">
        <v>1299</v>
      </c>
      <c r="M310" s="3">
        <v>0</v>
      </c>
      <c r="N310">
        <v>2598</v>
      </c>
      <c r="O310">
        <v>1600</v>
      </c>
      <c r="P310">
        <v>998</v>
      </c>
      <c r="Q310" t="s">
        <v>66</v>
      </c>
      <c r="R310" t="s">
        <v>28</v>
      </c>
      <c r="S310">
        <v>2</v>
      </c>
    </row>
    <row r="311" spans="1:19">
      <c r="A311" t="s">
        <v>619</v>
      </c>
      <c r="B311" s="2">
        <v>45737</v>
      </c>
      <c r="C311" t="s">
        <v>491</v>
      </c>
      <c r="D311" t="s">
        <v>92</v>
      </c>
      <c r="E311" t="s">
        <v>22</v>
      </c>
      <c r="F311">
        <v>25</v>
      </c>
      <c r="G311" t="s">
        <v>23</v>
      </c>
      <c r="H311" t="s">
        <v>24</v>
      </c>
      <c r="I311" t="s">
        <v>117</v>
      </c>
      <c r="J311" t="s">
        <v>152</v>
      </c>
      <c r="K311">
        <v>3</v>
      </c>
      <c r="L311">
        <v>899</v>
      </c>
      <c r="M311" s="3">
        <v>0.1</v>
      </c>
      <c r="N311">
        <v>2427.3000000000002</v>
      </c>
      <c r="O311">
        <v>1500</v>
      </c>
      <c r="P311">
        <v>927.3</v>
      </c>
      <c r="Q311" t="s">
        <v>50</v>
      </c>
      <c r="R311" t="s">
        <v>28</v>
      </c>
      <c r="S311">
        <v>5</v>
      </c>
    </row>
    <row r="312" spans="1:19">
      <c r="A312" t="s">
        <v>620</v>
      </c>
      <c r="B312" s="2">
        <v>45705</v>
      </c>
      <c r="C312" t="s">
        <v>332</v>
      </c>
      <c r="D312" t="s">
        <v>333</v>
      </c>
      <c r="E312" t="s">
        <v>32</v>
      </c>
      <c r="F312">
        <v>28</v>
      </c>
      <c r="G312" t="s">
        <v>93</v>
      </c>
      <c r="H312" t="s">
        <v>94</v>
      </c>
      <c r="I312" t="s">
        <v>43</v>
      </c>
      <c r="J312" t="s">
        <v>95</v>
      </c>
      <c r="K312">
        <v>2</v>
      </c>
      <c r="L312">
        <v>2499</v>
      </c>
      <c r="M312" s="3">
        <v>0.2</v>
      </c>
      <c r="N312">
        <v>3998.4</v>
      </c>
      <c r="O312">
        <v>3000</v>
      </c>
      <c r="P312">
        <v>998.4</v>
      </c>
      <c r="Q312" t="s">
        <v>66</v>
      </c>
      <c r="R312" t="s">
        <v>28</v>
      </c>
      <c r="S312">
        <v>4</v>
      </c>
    </row>
    <row r="313" spans="1:19">
      <c r="A313" t="s">
        <v>621</v>
      </c>
      <c r="B313" s="2">
        <v>46224</v>
      </c>
      <c r="C313" t="s">
        <v>53</v>
      </c>
      <c r="D313" t="s">
        <v>54</v>
      </c>
      <c r="E313" t="s">
        <v>22</v>
      </c>
      <c r="F313">
        <v>34</v>
      </c>
      <c r="G313" t="s">
        <v>55</v>
      </c>
      <c r="H313" t="s">
        <v>34</v>
      </c>
      <c r="I313" t="s">
        <v>43</v>
      </c>
      <c r="J313" t="s">
        <v>44</v>
      </c>
      <c r="K313">
        <v>3</v>
      </c>
      <c r="L313">
        <v>1599</v>
      </c>
      <c r="M313" s="3">
        <v>0</v>
      </c>
      <c r="N313">
        <v>4797</v>
      </c>
      <c r="O313">
        <v>2850</v>
      </c>
      <c r="P313">
        <v>1947</v>
      </c>
      <c r="Q313" t="s">
        <v>66</v>
      </c>
      <c r="R313" t="s">
        <v>28</v>
      </c>
      <c r="S313">
        <v>2</v>
      </c>
    </row>
    <row r="314" spans="1:19">
      <c r="A314" t="s">
        <v>622</v>
      </c>
      <c r="B314" s="2">
        <v>45906</v>
      </c>
      <c r="C314" t="s">
        <v>623</v>
      </c>
      <c r="D314" t="s">
        <v>624</v>
      </c>
      <c r="E314" t="s">
        <v>22</v>
      </c>
      <c r="F314">
        <v>52</v>
      </c>
      <c r="G314" t="s">
        <v>60</v>
      </c>
      <c r="H314" t="s">
        <v>61</v>
      </c>
      <c r="I314" t="s">
        <v>75</v>
      </c>
      <c r="J314" t="s">
        <v>86</v>
      </c>
      <c r="K314">
        <v>3</v>
      </c>
      <c r="L314">
        <v>499</v>
      </c>
      <c r="M314" s="3">
        <v>0.2</v>
      </c>
      <c r="N314">
        <v>1197.5999999999999</v>
      </c>
      <c r="O314">
        <v>900</v>
      </c>
      <c r="P314">
        <v>297.60000000000002</v>
      </c>
      <c r="Q314" t="s">
        <v>66</v>
      </c>
      <c r="R314" t="s">
        <v>28</v>
      </c>
      <c r="S314">
        <v>4</v>
      </c>
    </row>
    <row r="315" spans="1:19">
      <c r="A315" t="s">
        <v>625</v>
      </c>
      <c r="B315" s="2">
        <v>45664</v>
      </c>
      <c r="C315" t="s">
        <v>405</v>
      </c>
      <c r="D315" t="s">
        <v>213</v>
      </c>
      <c r="E315" t="s">
        <v>22</v>
      </c>
      <c r="F315">
        <v>28</v>
      </c>
      <c r="G315" t="s">
        <v>60</v>
      </c>
      <c r="H315" t="s">
        <v>61</v>
      </c>
      <c r="I315" t="s">
        <v>117</v>
      </c>
      <c r="J315" t="s">
        <v>152</v>
      </c>
      <c r="K315">
        <v>2</v>
      </c>
      <c r="L315">
        <v>899</v>
      </c>
      <c r="M315" s="3">
        <v>0.05</v>
      </c>
      <c r="N315">
        <v>1708.1</v>
      </c>
      <c r="O315">
        <v>1000</v>
      </c>
      <c r="P315">
        <v>708.1</v>
      </c>
      <c r="Q315" t="s">
        <v>66</v>
      </c>
      <c r="R315" t="s">
        <v>28</v>
      </c>
      <c r="S315">
        <v>5</v>
      </c>
    </row>
    <row r="316" spans="1:19">
      <c r="A316" t="s">
        <v>626</v>
      </c>
      <c r="B316" s="2">
        <v>45659</v>
      </c>
      <c r="C316" t="s">
        <v>199</v>
      </c>
      <c r="D316" t="s">
        <v>200</v>
      </c>
      <c r="E316" t="s">
        <v>22</v>
      </c>
      <c r="F316">
        <v>42</v>
      </c>
      <c r="G316" t="s">
        <v>33</v>
      </c>
      <c r="H316" t="s">
        <v>34</v>
      </c>
      <c r="I316" t="s">
        <v>75</v>
      </c>
      <c r="J316" t="s">
        <v>76</v>
      </c>
      <c r="K316">
        <v>1</v>
      </c>
      <c r="L316">
        <v>399</v>
      </c>
      <c r="M316" s="3">
        <v>0.1</v>
      </c>
      <c r="N316">
        <v>359.1</v>
      </c>
      <c r="O316">
        <v>220</v>
      </c>
      <c r="P316">
        <v>139.1</v>
      </c>
      <c r="Q316" t="s">
        <v>66</v>
      </c>
      <c r="R316" t="s">
        <v>137</v>
      </c>
      <c r="S316">
        <v>3</v>
      </c>
    </row>
    <row r="317" spans="1:19">
      <c r="A317" t="s">
        <v>627</v>
      </c>
      <c r="B317" s="2">
        <v>46161</v>
      </c>
      <c r="C317" t="s">
        <v>595</v>
      </c>
      <c r="D317" t="s">
        <v>596</v>
      </c>
      <c r="E317" t="s">
        <v>22</v>
      </c>
      <c r="F317">
        <v>25</v>
      </c>
      <c r="G317" t="s">
        <v>180</v>
      </c>
      <c r="H317" t="s">
        <v>181</v>
      </c>
      <c r="I317" t="s">
        <v>43</v>
      </c>
      <c r="J317" t="s">
        <v>49</v>
      </c>
      <c r="K317">
        <v>2</v>
      </c>
      <c r="L317">
        <v>799</v>
      </c>
      <c r="M317" s="3">
        <v>0.15</v>
      </c>
      <c r="N317">
        <v>1358.3</v>
      </c>
      <c r="O317">
        <v>900</v>
      </c>
      <c r="P317">
        <v>458.3</v>
      </c>
      <c r="Q317" t="s">
        <v>69</v>
      </c>
      <c r="R317" t="s">
        <v>51</v>
      </c>
      <c r="S317">
        <v>2</v>
      </c>
    </row>
    <row r="318" spans="1:19">
      <c r="A318" t="s">
        <v>628</v>
      </c>
      <c r="B318" s="2">
        <v>46190</v>
      </c>
      <c r="C318" t="s">
        <v>120</v>
      </c>
      <c r="D318" t="s">
        <v>121</v>
      </c>
      <c r="E318" t="s">
        <v>32</v>
      </c>
      <c r="F318">
        <v>35</v>
      </c>
      <c r="G318" t="s">
        <v>93</v>
      </c>
      <c r="H318" t="s">
        <v>94</v>
      </c>
      <c r="I318" t="s">
        <v>25</v>
      </c>
      <c r="J318" t="s">
        <v>26</v>
      </c>
      <c r="K318">
        <v>1</v>
      </c>
      <c r="L318">
        <v>2499</v>
      </c>
      <c r="M318" s="3">
        <v>0.05</v>
      </c>
      <c r="N318">
        <v>2374.0500000000002</v>
      </c>
      <c r="O318">
        <v>1600</v>
      </c>
      <c r="P318">
        <v>774.05</v>
      </c>
      <c r="Q318" t="s">
        <v>66</v>
      </c>
      <c r="R318" t="s">
        <v>28</v>
      </c>
      <c r="S318">
        <v>3</v>
      </c>
    </row>
    <row r="319" spans="1:19">
      <c r="A319" t="s">
        <v>629</v>
      </c>
      <c r="B319" s="2">
        <v>45755</v>
      </c>
      <c r="C319" t="s">
        <v>195</v>
      </c>
      <c r="D319" t="s">
        <v>196</v>
      </c>
      <c r="E319" t="s">
        <v>22</v>
      </c>
      <c r="F319">
        <v>54</v>
      </c>
      <c r="G319" t="s">
        <v>73</v>
      </c>
      <c r="H319" t="s">
        <v>74</v>
      </c>
      <c r="I319" t="s">
        <v>117</v>
      </c>
      <c r="J319" t="s">
        <v>152</v>
      </c>
      <c r="K319">
        <v>1</v>
      </c>
      <c r="L319">
        <v>899</v>
      </c>
      <c r="M319" s="3">
        <v>0.2</v>
      </c>
      <c r="N319">
        <v>719.2</v>
      </c>
      <c r="O319">
        <v>500</v>
      </c>
      <c r="P319">
        <v>219.2</v>
      </c>
      <c r="Q319" t="s">
        <v>50</v>
      </c>
      <c r="R319" t="s">
        <v>28</v>
      </c>
      <c r="S319">
        <v>4</v>
      </c>
    </row>
    <row r="320" spans="1:19">
      <c r="A320" t="s">
        <v>630</v>
      </c>
      <c r="B320" s="2">
        <v>45791</v>
      </c>
      <c r="C320" t="s">
        <v>91</v>
      </c>
      <c r="D320" t="s">
        <v>92</v>
      </c>
      <c r="E320" t="s">
        <v>32</v>
      </c>
      <c r="F320">
        <v>43</v>
      </c>
      <c r="G320" t="s">
        <v>93</v>
      </c>
      <c r="H320" t="s">
        <v>94</v>
      </c>
      <c r="I320" t="s">
        <v>75</v>
      </c>
      <c r="J320" t="s">
        <v>86</v>
      </c>
      <c r="K320">
        <v>1</v>
      </c>
      <c r="L320">
        <v>499</v>
      </c>
      <c r="M320" s="3">
        <v>0.15</v>
      </c>
      <c r="N320">
        <v>424.15</v>
      </c>
      <c r="O320">
        <v>300</v>
      </c>
      <c r="P320">
        <v>124.15</v>
      </c>
      <c r="Q320" t="s">
        <v>27</v>
      </c>
      <c r="R320" t="s">
        <v>28</v>
      </c>
      <c r="S320">
        <v>3</v>
      </c>
    </row>
    <row r="321" spans="1:19">
      <c r="A321" t="s">
        <v>631</v>
      </c>
      <c r="B321" s="2">
        <v>46121</v>
      </c>
      <c r="C321" t="s">
        <v>632</v>
      </c>
      <c r="D321" t="s">
        <v>633</v>
      </c>
      <c r="E321" t="s">
        <v>22</v>
      </c>
      <c r="F321">
        <v>33</v>
      </c>
      <c r="G321" t="s">
        <v>55</v>
      </c>
      <c r="H321" t="s">
        <v>34</v>
      </c>
      <c r="I321" t="s">
        <v>117</v>
      </c>
      <c r="J321" t="s">
        <v>238</v>
      </c>
      <c r="K321">
        <v>3</v>
      </c>
      <c r="L321">
        <v>2499</v>
      </c>
      <c r="M321" s="3">
        <v>0.1</v>
      </c>
      <c r="N321">
        <v>6747.3</v>
      </c>
      <c r="O321">
        <v>4500</v>
      </c>
      <c r="P321">
        <v>2247.3000000000002</v>
      </c>
      <c r="Q321" t="s">
        <v>37</v>
      </c>
      <c r="R321" t="s">
        <v>28</v>
      </c>
      <c r="S321">
        <v>2</v>
      </c>
    </row>
    <row r="322" spans="1:19">
      <c r="A322" t="s">
        <v>634</v>
      </c>
      <c r="B322" s="2">
        <v>45766</v>
      </c>
      <c r="C322" t="s">
        <v>422</v>
      </c>
      <c r="D322" t="s">
        <v>423</v>
      </c>
      <c r="E322" t="s">
        <v>22</v>
      </c>
      <c r="F322">
        <v>26</v>
      </c>
      <c r="G322" t="s">
        <v>141</v>
      </c>
      <c r="H322" t="s">
        <v>142</v>
      </c>
      <c r="I322" t="s">
        <v>75</v>
      </c>
      <c r="J322" t="s">
        <v>86</v>
      </c>
      <c r="K322">
        <v>1</v>
      </c>
      <c r="L322">
        <v>499</v>
      </c>
      <c r="M322" s="3">
        <v>0.05</v>
      </c>
      <c r="N322">
        <v>474.05</v>
      </c>
      <c r="O322">
        <v>300</v>
      </c>
      <c r="P322">
        <v>174.05</v>
      </c>
      <c r="Q322" t="s">
        <v>27</v>
      </c>
      <c r="R322" t="s">
        <v>28</v>
      </c>
      <c r="S322">
        <v>3</v>
      </c>
    </row>
    <row r="323" spans="1:19">
      <c r="A323" t="s">
        <v>635</v>
      </c>
      <c r="B323" s="2">
        <v>46120</v>
      </c>
      <c r="C323" t="s">
        <v>568</v>
      </c>
      <c r="D323" t="s">
        <v>569</v>
      </c>
      <c r="E323" t="s">
        <v>22</v>
      </c>
      <c r="F323">
        <v>18</v>
      </c>
      <c r="G323" t="s">
        <v>48</v>
      </c>
      <c r="H323" t="s">
        <v>42</v>
      </c>
      <c r="I323" t="s">
        <v>25</v>
      </c>
      <c r="J323" t="s">
        <v>56</v>
      </c>
      <c r="K323">
        <v>3</v>
      </c>
      <c r="L323">
        <v>899</v>
      </c>
      <c r="M323" s="3">
        <v>0.05</v>
      </c>
      <c r="N323">
        <v>2562.15</v>
      </c>
      <c r="O323">
        <v>1650</v>
      </c>
      <c r="P323">
        <v>912.15</v>
      </c>
      <c r="Q323" t="s">
        <v>37</v>
      </c>
      <c r="R323" t="s">
        <v>28</v>
      </c>
      <c r="S323">
        <v>1</v>
      </c>
    </row>
    <row r="324" spans="1:19">
      <c r="A324" t="s">
        <v>636</v>
      </c>
      <c r="B324" s="2">
        <v>45699</v>
      </c>
      <c r="C324" t="s">
        <v>637</v>
      </c>
      <c r="D324" t="s">
        <v>638</v>
      </c>
      <c r="E324" t="s">
        <v>22</v>
      </c>
      <c r="F324">
        <v>25</v>
      </c>
      <c r="G324" t="s">
        <v>141</v>
      </c>
      <c r="H324" t="s">
        <v>142</v>
      </c>
      <c r="I324" t="s">
        <v>43</v>
      </c>
      <c r="J324" t="s">
        <v>95</v>
      </c>
      <c r="K324">
        <v>3</v>
      </c>
      <c r="L324">
        <v>2499</v>
      </c>
      <c r="M324" s="3">
        <v>0.2</v>
      </c>
      <c r="N324">
        <v>5997.6</v>
      </c>
      <c r="O324">
        <v>4500</v>
      </c>
      <c r="P324">
        <v>1497.6</v>
      </c>
      <c r="Q324" t="s">
        <v>27</v>
      </c>
      <c r="R324" t="s">
        <v>137</v>
      </c>
      <c r="S324">
        <v>3</v>
      </c>
    </row>
    <row r="325" spans="1:19">
      <c r="A325" t="s">
        <v>639</v>
      </c>
      <c r="B325" s="2">
        <v>46063</v>
      </c>
      <c r="C325" t="s">
        <v>354</v>
      </c>
      <c r="D325" t="s">
        <v>339</v>
      </c>
      <c r="E325" t="s">
        <v>32</v>
      </c>
      <c r="F325">
        <v>25</v>
      </c>
      <c r="G325" t="s">
        <v>115</v>
      </c>
      <c r="H325" t="s">
        <v>116</v>
      </c>
      <c r="I325" t="s">
        <v>25</v>
      </c>
      <c r="J325" t="s">
        <v>26</v>
      </c>
      <c r="K325">
        <v>2</v>
      </c>
      <c r="L325">
        <v>2499</v>
      </c>
      <c r="M325" s="3">
        <v>0.1</v>
      </c>
      <c r="N325">
        <v>4498.2</v>
      </c>
      <c r="O325">
        <v>3200</v>
      </c>
      <c r="P325">
        <v>1298.2</v>
      </c>
      <c r="Q325" t="s">
        <v>50</v>
      </c>
      <c r="R325" t="s">
        <v>28</v>
      </c>
      <c r="S325">
        <v>3</v>
      </c>
    </row>
    <row r="326" spans="1:19">
      <c r="A326" t="s">
        <v>640</v>
      </c>
      <c r="B326" s="2">
        <v>46121</v>
      </c>
      <c r="C326" t="s">
        <v>641</v>
      </c>
      <c r="D326" t="s">
        <v>72</v>
      </c>
      <c r="E326" t="s">
        <v>32</v>
      </c>
      <c r="F326">
        <v>51</v>
      </c>
      <c r="G326" t="s">
        <v>115</v>
      </c>
      <c r="H326" t="s">
        <v>116</v>
      </c>
      <c r="I326" t="s">
        <v>43</v>
      </c>
      <c r="J326" t="s">
        <v>95</v>
      </c>
      <c r="K326">
        <v>1</v>
      </c>
      <c r="L326">
        <v>2499</v>
      </c>
      <c r="M326" s="3">
        <v>0.15</v>
      </c>
      <c r="N326">
        <v>2124.15</v>
      </c>
      <c r="O326">
        <v>1500</v>
      </c>
      <c r="P326">
        <v>624.15</v>
      </c>
      <c r="Q326" t="s">
        <v>50</v>
      </c>
      <c r="R326" t="s">
        <v>28</v>
      </c>
      <c r="S326">
        <v>2</v>
      </c>
    </row>
    <row r="327" spans="1:19">
      <c r="A327" t="s">
        <v>642</v>
      </c>
      <c r="B327" s="2">
        <v>45782</v>
      </c>
      <c r="C327" t="s">
        <v>579</v>
      </c>
      <c r="D327" t="s">
        <v>145</v>
      </c>
      <c r="E327" t="s">
        <v>32</v>
      </c>
      <c r="F327">
        <v>22</v>
      </c>
      <c r="G327" t="s">
        <v>141</v>
      </c>
      <c r="H327" t="s">
        <v>142</v>
      </c>
      <c r="I327" t="s">
        <v>35</v>
      </c>
      <c r="J327" t="s">
        <v>136</v>
      </c>
      <c r="K327">
        <v>1</v>
      </c>
      <c r="L327">
        <v>799</v>
      </c>
      <c r="M327" s="3">
        <v>0.05</v>
      </c>
      <c r="N327">
        <v>759.05</v>
      </c>
      <c r="O327">
        <v>450</v>
      </c>
      <c r="P327">
        <v>309.05</v>
      </c>
      <c r="Q327" t="s">
        <v>69</v>
      </c>
      <c r="R327" t="s">
        <v>28</v>
      </c>
      <c r="S327">
        <v>2</v>
      </c>
    </row>
    <row r="328" spans="1:19">
      <c r="A328" t="s">
        <v>643</v>
      </c>
      <c r="B328" s="2">
        <v>45744</v>
      </c>
      <c r="C328" t="s">
        <v>342</v>
      </c>
      <c r="D328" t="s">
        <v>343</v>
      </c>
      <c r="E328" t="s">
        <v>22</v>
      </c>
      <c r="F328">
        <v>23</v>
      </c>
      <c r="G328" t="s">
        <v>48</v>
      </c>
      <c r="H328" t="s">
        <v>42</v>
      </c>
      <c r="I328" t="s">
        <v>43</v>
      </c>
      <c r="J328" t="s">
        <v>49</v>
      </c>
      <c r="K328">
        <v>4</v>
      </c>
      <c r="L328">
        <v>799</v>
      </c>
      <c r="M328" s="3">
        <v>0.1</v>
      </c>
      <c r="N328">
        <v>2876.4</v>
      </c>
      <c r="O328">
        <v>1800</v>
      </c>
      <c r="P328">
        <v>1076.4000000000001</v>
      </c>
      <c r="Q328" t="s">
        <v>50</v>
      </c>
      <c r="R328" t="s">
        <v>28</v>
      </c>
      <c r="S328">
        <v>1</v>
      </c>
    </row>
    <row r="329" spans="1:19">
      <c r="A329" t="s">
        <v>644</v>
      </c>
      <c r="B329" s="2">
        <v>45789</v>
      </c>
      <c r="C329" t="s">
        <v>113</v>
      </c>
      <c r="D329" t="s">
        <v>114</v>
      </c>
      <c r="E329" t="s">
        <v>32</v>
      </c>
      <c r="F329">
        <v>18</v>
      </c>
      <c r="G329" t="s">
        <v>115</v>
      </c>
      <c r="H329" t="s">
        <v>116</v>
      </c>
      <c r="I329" t="s">
        <v>25</v>
      </c>
      <c r="J329" t="s">
        <v>26</v>
      </c>
      <c r="K329">
        <v>2</v>
      </c>
      <c r="L329">
        <v>2499</v>
      </c>
      <c r="M329" s="3">
        <v>0.15</v>
      </c>
      <c r="N329">
        <v>4248.3</v>
      </c>
      <c r="O329">
        <v>3200</v>
      </c>
      <c r="P329">
        <v>1048.3</v>
      </c>
      <c r="Q329" t="s">
        <v>69</v>
      </c>
      <c r="R329" t="s">
        <v>77</v>
      </c>
      <c r="S329">
        <v>3</v>
      </c>
    </row>
    <row r="330" spans="1:19">
      <c r="A330" t="s">
        <v>645</v>
      </c>
      <c r="B330" s="2">
        <v>45830</v>
      </c>
      <c r="C330" t="s">
        <v>243</v>
      </c>
      <c r="D330" t="s">
        <v>244</v>
      </c>
      <c r="E330" t="s">
        <v>22</v>
      </c>
      <c r="F330">
        <v>38</v>
      </c>
      <c r="G330" t="s">
        <v>23</v>
      </c>
      <c r="H330" t="s">
        <v>24</v>
      </c>
      <c r="I330" t="s">
        <v>25</v>
      </c>
      <c r="J330" t="s">
        <v>68</v>
      </c>
      <c r="K330">
        <v>4</v>
      </c>
      <c r="L330">
        <v>2999</v>
      </c>
      <c r="M330" s="3">
        <v>0</v>
      </c>
      <c r="N330">
        <v>11996</v>
      </c>
      <c r="O330">
        <v>7600</v>
      </c>
      <c r="P330">
        <v>4396</v>
      </c>
      <c r="Q330" t="s">
        <v>50</v>
      </c>
      <c r="R330" t="s">
        <v>28</v>
      </c>
      <c r="S330">
        <v>4</v>
      </c>
    </row>
    <row r="331" spans="1:19">
      <c r="A331" t="s">
        <v>646</v>
      </c>
      <c r="B331" s="2">
        <v>45834</v>
      </c>
      <c r="C331" t="s">
        <v>207</v>
      </c>
      <c r="D331" t="s">
        <v>72</v>
      </c>
      <c r="E331" t="s">
        <v>22</v>
      </c>
      <c r="F331">
        <v>48</v>
      </c>
      <c r="G331" t="s">
        <v>180</v>
      </c>
      <c r="H331" t="s">
        <v>181</v>
      </c>
      <c r="I331" t="s">
        <v>25</v>
      </c>
      <c r="J331" t="s">
        <v>156</v>
      </c>
      <c r="K331">
        <v>4</v>
      </c>
      <c r="L331">
        <v>1999</v>
      </c>
      <c r="M331" s="3">
        <v>0.15</v>
      </c>
      <c r="N331">
        <v>6796.6</v>
      </c>
      <c r="O331">
        <v>5200</v>
      </c>
      <c r="P331">
        <v>1596.6</v>
      </c>
      <c r="Q331" t="s">
        <v>37</v>
      </c>
      <c r="R331" t="s">
        <v>28</v>
      </c>
      <c r="S331">
        <v>2</v>
      </c>
    </row>
    <row r="332" spans="1:19">
      <c r="A332" t="s">
        <v>647</v>
      </c>
      <c r="B332" s="2">
        <v>45693</v>
      </c>
      <c r="C332" t="s">
        <v>648</v>
      </c>
      <c r="D332" t="s">
        <v>649</v>
      </c>
      <c r="E332" t="s">
        <v>32</v>
      </c>
      <c r="F332">
        <v>34</v>
      </c>
      <c r="G332" t="s">
        <v>23</v>
      </c>
      <c r="H332" t="s">
        <v>24</v>
      </c>
      <c r="I332" t="s">
        <v>43</v>
      </c>
      <c r="J332" t="s">
        <v>197</v>
      </c>
      <c r="K332">
        <v>4</v>
      </c>
      <c r="L332">
        <v>1799</v>
      </c>
      <c r="M332" s="3">
        <v>0.05</v>
      </c>
      <c r="N332">
        <v>6836.2</v>
      </c>
      <c r="O332">
        <v>4200</v>
      </c>
      <c r="P332">
        <v>2636.2</v>
      </c>
      <c r="Q332" t="s">
        <v>50</v>
      </c>
      <c r="R332" t="s">
        <v>28</v>
      </c>
      <c r="S332">
        <v>2</v>
      </c>
    </row>
    <row r="333" spans="1:19">
      <c r="A333" t="s">
        <v>650</v>
      </c>
      <c r="B333" s="2">
        <v>46148</v>
      </c>
      <c r="C333" t="s">
        <v>204</v>
      </c>
      <c r="D333" t="s">
        <v>205</v>
      </c>
      <c r="E333" t="s">
        <v>22</v>
      </c>
      <c r="F333">
        <v>45</v>
      </c>
      <c r="G333" t="s">
        <v>81</v>
      </c>
      <c r="H333" t="s">
        <v>82</v>
      </c>
      <c r="I333" t="s">
        <v>35</v>
      </c>
      <c r="J333" t="s">
        <v>36</v>
      </c>
      <c r="K333">
        <v>4</v>
      </c>
      <c r="L333">
        <v>599</v>
      </c>
      <c r="M333" s="3">
        <v>0.2</v>
      </c>
      <c r="N333">
        <v>1916.8</v>
      </c>
      <c r="O333">
        <v>1280</v>
      </c>
      <c r="P333">
        <v>636.79999999999995</v>
      </c>
      <c r="Q333" t="s">
        <v>69</v>
      </c>
      <c r="R333" t="s">
        <v>28</v>
      </c>
      <c r="S333">
        <v>4</v>
      </c>
    </row>
    <row r="334" spans="1:19">
      <c r="A334" t="s">
        <v>651</v>
      </c>
      <c r="B334" s="2">
        <v>45913</v>
      </c>
      <c r="C334" t="s">
        <v>359</v>
      </c>
      <c r="D334" t="s">
        <v>360</v>
      </c>
      <c r="E334" t="s">
        <v>32</v>
      </c>
      <c r="F334">
        <v>51</v>
      </c>
      <c r="G334" t="s">
        <v>251</v>
      </c>
      <c r="H334" t="s">
        <v>251</v>
      </c>
      <c r="I334" t="s">
        <v>163</v>
      </c>
      <c r="J334" t="s">
        <v>234</v>
      </c>
      <c r="K334">
        <v>2</v>
      </c>
      <c r="L334">
        <v>999</v>
      </c>
      <c r="M334" s="3">
        <v>0.2</v>
      </c>
      <c r="N334">
        <v>1598.4</v>
      </c>
      <c r="O334">
        <v>1200</v>
      </c>
      <c r="P334">
        <v>398.4</v>
      </c>
      <c r="Q334" t="s">
        <v>50</v>
      </c>
      <c r="R334" t="s">
        <v>137</v>
      </c>
      <c r="S334">
        <v>4</v>
      </c>
    </row>
    <row r="335" spans="1:19">
      <c r="A335" t="s">
        <v>652</v>
      </c>
      <c r="B335" s="2">
        <v>46237</v>
      </c>
      <c r="C335" t="s">
        <v>653</v>
      </c>
      <c r="D335" t="s">
        <v>255</v>
      </c>
      <c r="E335" t="s">
        <v>32</v>
      </c>
      <c r="F335">
        <v>38</v>
      </c>
      <c r="G335" t="s">
        <v>93</v>
      </c>
      <c r="H335" t="s">
        <v>94</v>
      </c>
      <c r="I335" t="s">
        <v>35</v>
      </c>
      <c r="J335" t="s">
        <v>36</v>
      </c>
      <c r="K335">
        <v>4</v>
      </c>
      <c r="L335">
        <v>599</v>
      </c>
      <c r="M335" s="3">
        <v>0.1</v>
      </c>
      <c r="N335">
        <v>2156.4</v>
      </c>
      <c r="O335">
        <v>1280</v>
      </c>
      <c r="P335">
        <v>876.4</v>
      </c>
      <c r="Q335" t="s">
        <v>50</v>
      </c>
      <c r="R335" t="s">
        <v>28</v>
      </c>
      <c r="S335">
        <v>3</v>
      </c>
    </row>
    <row r="336" spans="1:19">
      <c r="A336" t="s">
        <v>654</v>
      </c>
      <c r="B336" s="2">
        <v>45882</v>
      </c>
      <c r="C336" t="s">
        <v>338</v>
      </c>
      <c r="D336" t="s">
        <v>339</v>
      </c>
      <c r="E336" t="s">
        <v>32</v>
      </c>
      <c r="F336">
        <v>24</v>
      </c>
      <c r="G336" t="s">
        <v>73</v>
      </c>
      <c r="H336" t="s">
        <v>74</v>
      </c>
      <c r="I336" t="s">
        <v>25</v>
      </c>
      <c r="J336" t="s">
        <v>156</v>
      </c>
      <c r="K336">
        <v>3</v>
      </c>
      <c r="L336">
        <v>1999</v>
      </c>
      <c r="M336" s="3">
        <v>0.2</v>
      </c>
      <c r="N336">
        <v>4797.6000000000004</v>
      </c>
      <c r="O336">
        <v>3900</v>
      </c>
      <c r="P336">
        <v>897.6</v>
      </c>
      <c r="Q336" t="s">
        <v>69</v>
      </c>
      <c r="R336" t="s">
        <v>77</v>
      </c>
      <c r="S336">
        <v>3</v>
      </c>
    </row>
    <row r="337" spans="1:19">
      <c r="A337" t="s">
        <v>655</v>
      </c>
      <c r="B337" s="2">
        <v>45896</v>
      </c>
      <c r="C337" t="s">
        <v>384</v>
      </c>
      <c r="D337" t="s">
        <v>385</v>
      </c>
      <c r="E337" t="s">
        <v>32</v>
      </c>
      <c r="F337">
        <v>22</v>
      </c>
      <c r="G337" t="s">
        <v>48</v>
      </c>
      <c r="H337" t="s">
        <v>42</v>
      </c>
      <c r="I337" t="s">
        <v>35</v>
      </c>
      <c r="J337" t="s">
        <v>36</v>
      </c>
      <c r="K337">
        <v>3</v>
      </c>
      <c r="L337">
        <v>599</v>
      </c>
      <c r="M337" s="3">
        <v>0.2</v>
      </c>
      <c r="N337">
        <v>1437.6</v>
      </c>
      <c r="O337">
        <v>960</v>
      </c>
      <c r="P337">
        <v>477.6</v>
      </c>
      <c r="Q337" t="s">
        <v>27</v>
      </c>
      <c r="R337" t="s">
        <v>28</v>
      </c>
      <c r="S337">
        <v>2</v>
      </c>
    </row>
    <row r="338" spans="1:19">
      <c r="A338" t="s">
        <v>656</v>
      </c>
      <c r="B338" s="2">
        <v>46247</v>
      </c>
      <c r="C338" t="s">
        <v>154</v>
      </c>
      <c r="D338" t="s">
        <v>155</v>
      </c>
      <c r="E338" t="s">
        <v>22</v>
      </c>
      <c r="F338">
        <v>53</v>
      </c>
      <c r="G338" t="s">
        <v>105</v>
      </c>
      <c r="H338" t="s">
        <v>105</v>
      </c>
      <c r="I338" t="s">
        <v>35</v>
      </c>
      <c r="J338" t="s">
        <v>126</v>
      </c>
      <c r="K338">
        <v>1</v>
      </c>
      <c r="L338">
        <v>1499</v>
      </c>
      <c r="M338" s="3">
        <v>0.05</v>
      </c>
      <c r="N338">
        <v>1424.05</v>
      </c>
      <c r="O338">
        <v>850</v>
      </c>
      <c r="P338">
        <v>574.04999999999995</v>
      </c>
      <c r="Q338" t="s">
        <v>66</v>
      </c>
      <c r="R338" t="s">
        <v>28</v>
      </c>
      <c r="S338">
        <v>2</v>
      </c>
    </row>
    <row r="339" spans="1:19">
      <c r="A339" t="s">
        <v>657</v>
      </c>
      <c r="B339" s="2">
        <v>46263</v>
      </c>
      <c r="C339" t="s">
        <v>511</v>
      </c>
      <c r="D339" t="s">
        <v>512</v>
      </c>
      <c r="E339" t="s">
        <v>22</v>
      </c>
      <c r="F339">
        <v>24</v>
      </c>
      <c r="G339" t="s">
        <v>115</v>
      </c>
      <c r="H339" t="s">
        <v>116</v>
      </c>
      <c r="I339" t="s">
        <v>43</v>
      </c>
      <c r="J339" t="s">
        <v>281</v>
      </c>
      <c r="K339">
        <v>3</v>
      </c>
      <c r="L339">
        <v>2999</v>
      </c>
      <c r="M339" s="3">
        <v>0.1</v>
      </c>
      <c r="N339">
        <v>8097.3</v>
      </c>
      <c r="O339">
        <v>5400</v>
      </c>
      <c r="P339">
        <v>2697.3</v>
      </c>
      <c r="Q339" t="s">
        <v>69</v>
      </c>
      <c r="R339" t="s">
        <v>28</v>
      </c>
      <c r="S339">
        <v>3</v>
      </c>
    </row>
    <row r="340" spans="1:19">
      <c r="A340" t="s">
        <v>658</v>
      </c>
      <c r="B340" s="2">
        <v>45850</v>
      </c>
      <c r="C340" t="s">
        <v>292</v>
      </c>
      <c r="D340" t="s">
        <v>293</v>
      </c>
      <c r="E340" t="s">
        <v>32</v>
      </c>
      <c r="F340">
        <v>29</v>
      </c>
      <c r="G340" t="s">
        <v>180</v>
      </c>
      <c r="H340" t="s">
        <v>181</v>
      </c>
      <c r="I340" t="s">
        <v>75</v>
      </c>
      <c r="J340" t="s">
        <v>86</v>
      </c>
      <c r="K340">
        <v>2</v>
      </c>
      <c r="L340">
        <v>499</v>
      </c>
      <c r="M340" s="3">
        <v>0.2</v>
      </c>
      <c r="N340">
        <v>798.4</v>
      </c>
      <c r="O340">
        <v>600</v>
      </c>
      <c r="P340">
        <v>198.4</v>
      </c>
      <c r="Q340" t="s">
        <v>66</v>
      </c>
      <c r="R340" t="s">
        <v>28</v>
      </c>
      <c r="S340">
        <v>2</v>
      </c>
    </row>
    <row r="341" spans="1:19">
      <c r="A341" t="s">
        <v>659</v>
      </c>
      <c r="B341" s="2">
        <v>45896</v>
      </c>
      <c r="C341" t="s">
        <v>64</v>
      </c>
      <c r="D341" t="s">
        <v>65</v>
      </c>
      <c r="E341" t="s">
        <v>32</v>
      </c>
      <c r="F341">
        <v>31</v>
      </c>
      <c r="G341" t="s">
        <v>33</v>
      </c>
      <c r="H341" t="s">
        <v>34</v>
      </c>
      <c r="I341" t="s">
        <v>25</v>
      </c>
      <c r="J341" t="s">
        <v>68</v>
      </c>
      <c r="K341">
        <v>1</v>
      </c>
      <c r="L341">
        <v>2999</v>
      </c>
      <c r="M341" s="3">
        <v>0</v>
      </c>
      <c r="N341">
        <v>2999</v>
      </c>
      <c r="O341">
        <v>1900</v>
      </c>
      <c r="P341">
        <v>1099</v>
      </c>
      <c r="Q341" t="s">
        <v>50</v>
      </c>
      <c r="R341" t="s">
        <v>28</v>
      </c>
      <c r="S341">
        <v>5</v>
      </c>
    </row>
    <row r="342" spans="1:19">
      <c r="A342" t="s">
        <v>660</v>
      </c>
      <c r="B342" s="2">
        <v>45864</v>
      </c>
      <c r="C342" t="s">
        <v>448</v>
      </c>
      <c r="D342" t="s">
        <v>449</v>
      </c>
      <c r="E342" t="s">
        <v>22</v>
      </c>
      <c r="F342">
        <v>43</v>
      </c>
      <c r="G342" t="s">
        <v>81</v>
      </c>
      <c r="H342" t="s">
        <v>82</v>
      </c>
      <c r="I342" t="s">
        <v>25</v>
      </c>
      <c r="J342" t="s">
        <v>156</v>
      </c>
      <c r="K342">
        <v>3</v>
      </c>
      <c r="L342">
        <v>1999</v>
      </c>
      <c r="M342" s="3">
        <v>0.2</v>
      </c>
      <c r="N342">
        <v>4797.6000000000004</v>
      </c>
      <c r="O342">
        <v>3900</v>
      </c>
      <c r="P342">
        <v>897.6</v>
      </c>
      <c r="Q342" t="s">
        <v>27</v>
      </c>
      <c r="R342" t="s">
        <v>28</v>
      </c>
      <c r="S342">
        <v>2</v>
      </c>
    </row>
    <row r="343" spans="1:19">
      <c r="A343" t="s">
        <v>661</v>
      </c>
      <c r="B343" s="2">
        <v>46258</v>
      </c>
      <c r="C343" t="s">
        <v>110</v>
      </c>
      <c r="D343" t="s">
        <v>111</v>
      </c>
      <c r="E343" t="s">
        <v>22</v>
      </c>
      <c r="F343">
        <v>47</v>
      </c>
      <c r="G343" t="s">
        <v>48</v>
      </c>
      <c r="H343" t="s">
        <v>42</v>
      </c>
      <c r="I343" t="s">
        <v>25</v>
      </c>
      <c r="J343" t="s">
        <v>68</v>
      </c>
      <c r="K343">
        <v>1</v>
      </c>
      <c r="L343">
        <v>2999</v>
      </c>
      <c r="M343" s="3">
        <v>0.05</v>
      </c>
      <c r="N343">
        <v>2849.05</v>
      </c>
      <c r="O343">
        <v>1900</v>
      </c>
      <c r="P343">
        <v>949.05</v>
      </c>
      <c r="Q343" t="s">
        <v>27</v>
      </c>
      <c r="R343" t="s">
        <v>28</v>
      </c>
      <c r="S343">
        <v>5</v>
      </c>
    </row>
    <row r="344" spans="1:19">
      <c r="A344" t="s">
        <v>662</v>
      </c>
      <c r="B344" s="2">
        <v>46258</v>
      </c>
      <c r="C344" t="s">
        <v>663</v>
      </c>
      <c r="D344" t="s">
        <v>382</v>
      </c>
      <c r="E344" t="s">
        <v>32</v>
      </c>
      <c r="F344">
        <v>53</v>
      </c>
      <c r="G344" t="s">
        <v>73</v>
      </c>
      <c r="H344" t="s">
        <v>74</v>
      </c>
      <c r="I344" t="s">
        <v>25</v>
      </c>
      <c r="J344" t="s">
        <v>26</v>
      </c>
      <c r="K344">
        <v>3</v>
      </c>
      <c r="L344">
        <v>2499</v>
      </c>
      <c r="M344" s="3">
        <v>0.15</v>
      </c>
      <c r="N344">
        <v>6372.45</v>
      </c>
      <c r="O344">
        <v>4800</v>
      </c>
      <c r="P344">
        <v>1572.45</v>
      </c>
      <c r="Q344" t="s">
        <v>69</v>
      </c>
      <c r="R344" t="s">
        <v>28</v>
      </c>
      <c r="S344">
        <v>3</v>
      </c>
    </row>
    <row r="345" spans="1:19">
      <c r="A345" t="s">
        <v>664</v>
      </c>
      <c r="B345" s="2">
        <v>45982</v>
      </c>
      <c r="C345" t="s">
        <v>422</v>
      </c>
      <c r="D345" t="s">
        <v>423</v>
      </c>
      <c r="E345" t="s">
        <v>22</v>
      </c>
      <c r="F345">
        <v>26</v>
      </c>
      <c r="G345" t="s">
        <v>141</v>
      </c>
      <c r="H345" t="s">
        <v>142</v>
      </c>
      <c r="I345" t="s">
        <v>43</v>
      </c>
      <c r="J345" t="s">
        <v>95</v>
      </c>
      <c r="K345">
        <v>4</v>
      </c>
      <c r="L345">
        <v>2499</v>
      </c>
      <c r="M345" s="3">
        <v>0.15</v>
      </c>
      <c r="N345">
        <v>8496.6</v>
      </c>
      <c r="O345">
        <v>6000</v>
      </c>
      <c r="P345">
        <v>2496.6</v>
      </c>
      <c r="Q345" t="s">
        <v>27</v>
      </c>
      <c r="R345" t="s">
        <v>28</v>
      </c>
      <c r="S345">
        <v>5</v>
      </c>
    </row>
    <row r="346" spans="1:19">
      <c r="A346" t="s">
        <v>665</v>
      </c>
      <c r="B346" s="2">
        <v>45972</v>
      </c>
      <c r="C346" t="s">
        <v>653</v>
      </c>
      <c r="D346" t="s">
        <v>255</v>
      </c>
      <c r="E346" t="s">
        <v>32</v>
      </c>
      <c r="F346">
        <v>38</v>
      </c>
      <c r="G346" t="s">
        <v>93</v>
      </c>
      <c r="H346" t="s">
        <v>94</v>
      </c>
      <c r="I346" t="s">
        <v>43</v>
      </c>
      <c r="J346" t="s">
        <v>281</v>
      </c>
      <c r="K346">
        <v>2</v>
      </c>
      <c r="L346">
        <v>2999</v>
      </c>
      <c r="M346" s="3">
        <v>0.15</v>
      </c>
      <c r="N346">
        <v>5098.3</v>
      </c>
      <c r="O346">
        <v>3600</v>
      </c>
      <c r="P346">
        <v>1498.3</v>
      </c>
      <c r="Q346" t="s">
        <v>37</v>
      </c>
      <c r="R346" t="s">
        <v>28</v>
      </c>
      <c r="S346">
        <v>1</v>
      </c>
    </row>
    <row r="347" spans="1:19">
      <c r="A347" t="s">
        <v>666</v>
      </c>
      <c r="B347" s="2">
        <v>45983</v>
      </c>
      <c r="C347" t="s">
        <v>283</v>
      </c>
      <c r="D347" t="s">
        <v>284</v>
      </c>
      <c r="E347" t="s">
        <v>32</v>
      </c>
      <c r="F347">
        <v>39</v>
      </c>
      <c r="G347" t="s">
        <v>55</v>
      </c>
      <c r="H347" t="s">
        <v>34</v>
      </c>
      <c r="I347" t="s">
        <v>163</v>
      </c>
      <c r="J347" t="s">
        <v>290</v>
      </c>
      <c r="K347">
        <v>1</v>
      </c>
      <c r="L347">
        <v>1999</v>
      </c>
      <c r="M347" s="3">
        <v>0.05</v>
      </c>
      <c r="N347">
        <v>1899.05</v>
      </c>
      <c r="O347">
        <v>1200</v>
      </c>
      <c r="P347">
        <v>699.05</v>
      </c>
      <c r="Q347" t="s">
        <v>50</v>
      </c>
      <c r="R347" t="s">
        <v>28</v>
      </c>
      <c r="S347">
        <v>5</v>
      </c>
    </row>
    <row r="348" spans="1:19">
      <c r="A348" t="s">
        <v>667</v>
      </c>
      <c r="B348" s="2">
        <v>45737</v>
      </c>
      <c r="C348" t="s">
        <v>595</v>
      </c>
      <c r="D348" t="s">
        <v>596</v>
      </c>
      <c r="E348" t="s">
        <v>22</v>
      </c>
      <c r="F348">
        <v>25</v>
      </c>
      <c r="G348" t="s">
        <v>180</v>
      </c>
      <c r="H348" t="s">
        <v>181</v>
      </c>
      <c r="I348" t="s">
        <v>35</v>
      </c>
      <c r="J348" t="s">
        <v>36</v>
      </c>
      <c r="K348">
        <v>2</v>
      </c>
      <c r="L348">
        <v>599</v>
      </c>
      <c r="M348" s="3">
        <v>0.1</v>
      </c>
      <c r="N348">
        <v>1078.2</v>
      </c>
      <c r="O348">
        <v>640</v>
      </c>
      <c r="P348">
        <v>438.2</v>
      </c>
      <c r="Q348" t="s">
        <v>27</v>
      </c>
      <c r="R348" t="s">
        <v>28</v>
      </c>
      <c r="S348">
        <v>3</v>
      </c>
    </row>
    <row r="349" spans="1:19">
      <c r="A349" t="s">
        <v>668</v>
      </c>
      <c r="B349" s="2">
        <v>46115</v>
      </c>
      <c r="C349" t="s">
        <v>553</v>
      </c>
      <c r="D349" t="s">
        <v>554</v>
      </c>
      <c r="E349" t="s">
        <v>22</v>
      </c>
      <c r="F349">
        <v>54</v>
      </c>
      <c r="G349" t="s">
        <v>23</v>
      </c>
      <c r="H349" t="s">
        <v>24</v>
      </c>
      <c r="I349" t="s">
        <v>75</v>
      </c>
      <c r="J349" t="s">
        <v>76</v>
      </c>
      <c r="K349">
        <v>1</v>
      </c>
      <c r="L349">
        <v>399</v>
      </c>
      <c r="M349" s="3">
        <v>0.1</v>
      </c>
      <c r="N349">
        <v>359.1</v>
      </c>
      <c r="O349">
        <v>220</v>
      </c>
      <c r="P349">
        <v>139.1</v>
      </c>
      <c r="Q349" t="s">
        <v>69</v>
      </c>
      <c r="R349" t="s">
        <v>28</v>
      </c>
      <c r="S349">
        <v>2</v>
      </c>
    </row>
    <row r="350" spans="1:19">
      <c r="A350" t="s">
        <v>669</v>
      </c>
      <c r="B350" s="2">
        <v>45659</v>
      </c>
      <c r="C350" t="s">
        <v>670</v>
      </c>
      <c r="D350" t="s">
        <v>671</v>
      </c>
      <c r="E350" t="s">
        <v>22</v>
      </c>
      <c r="F350">
        <v>38</v>
      </c>
      <c r="G350" t="s">
        <v>180</v>
      </c>
      <c r="H350" t="s">
        <v>181</v>
      </c>
      <c r="I350" t="s">
        <v>163</v>
      </c>
      <c r="J350" t="s">
        <v>214</v>
      </c>
      <c r="K350">
        <v>3</v>
      </c>
      <c r="L350">
        <v>1499</v>
      </c>
      <c r="M350" s="3">
        <v>0</v>
      </c>
      <c r="N350">
        <v>4497</v>
      </c>
      <c r="O350">
        <v>2700</v>
      </c>
      <c r="P350">
        <v>1797</v>
      </c>
      <c r="Q350" t="s">
        <v>69</v>
      </c>
      <c r="R350" t="s">
        <v>28</v>
      </c>
      <c r="S350">
        <v>4</v>
      </c>
    </row>
    <row r="351" spans="1:19">
      <c r="A351" t="s">
        <v>672</v>
      </c>
      <c r="B351" s="2">
        <v>46017</v>
      </c>
      <c r="C351" t="s">
        <v>553</v>
      </c>
      <c r="D351" t="s">
        <v>554</v>
      </c>
      <c r="E351" t="s">
        <v>22</v>
      </c>
      <c r="F351">
        <v>54</v>
      </c>
      <c r="G351" t="s">
        <v>23</v>
      </c>
      <c r="H351" t="s">
        <v>24</v>
      </c>
      <c r="I351" t="s">
        <v>163</v>
      </c>
      <c r="J351" t="s">
        <v>234</v>
      </c>
      <c r="K351">
        <v>4</v>
      </c>
      <c r="L351">
        <v>999</v>
      </c>
      <c r="M351" s="3">
        <v>0.15</v>
      </c>
      <c r="N351">
        <v>3396.6</v>
      </c>
      <c r="O351">
        <v>2400</v>
      </c>
      <c r="P351">
        <v>996.6</v>
      </c>
      <c r="Q351" t="s">
        <v>50</v>
      </c>
      <c r="R351" t="s">
        <v>28</v>
      </c>
      <c r="S351">
        <v>4</v>
      </c>
    </row>
    <row r="352" spans="1:19">
      <c r="A352" t="s">
        <v>673</v>
      </c>
      <c r="B352" s="2">
        <v>46120</v>
      </c>
      <c r="C352" t="s">
        <v>71</v>
      </c>
      <c r="D352" t="s">
        <v>72</v>
      </c>
      <c r="E352" t="s">
        <v>32</v>
      </c>
      <c r="F352">
        <v>53</v>
      </c>
      <c r="G352" t="s">
        <v>73</v>
      </c>
      <c r="H352" t="s">
        <v>74</v>
      </c>
      <c r="I352" t="s">
        <v>75</v>
      </c>
      <c r="J352" t="s">
        <v>76</v>
      </c>
      <c r="K352">
        <v>2</v>
      </c>
      <c r="L352">
        <v>399</v>
      </c>
      <c r="M352" s="3">
        <v>0.05</v>
      </c>
      <c r="N352">
        <v>758.1</v>
      </c>
      <c r="O352">
        <v>440</v>
      </c>
      <c r="P352">
        <v>318.10000000000002</v>
      </c>
      <c r="Q352" t="s">
        <v>69</v>
      </c>
      <c r="R352" t="s">
        <v>137</v>
      </c>
      <c r="S352">
        <v>1</v>
      </c>
    </row>
    <row r="353" spans="1:19">
      <c r="A353" t="s">
        <v>674</v>
      </c>
      <c r="B353" s="2">
        <v>45765</v>
      </c>
      <c r="C353" t="s">
        <v>204</v>
      </c>
      <c r="D353" t="s">
        <v>205</v>
      </c>
      <c r="E353" t="s">
        <v>22</v>
      </c>
      <c r="F353">
        <v>45</v>
      </c>
      <c r="G353" t="s">
        <v>81</v>
      </c>
      <c r="H353" t="s">
        <v>82</v>
      </c>
      <c r="I353" t="s">
        <v>25</v>
      </c>
      <c r="J353" t="s">
        <v>156</v>
      </c>
      <c r="K353">
        <v>3</v>
      </c>
      <c r="L353">
        <v>1999</v>
      </c>
      <c r="M353" s="3">
        <v>0.1</v>
      </c>
      <c r="N353">
        <v>5397.3</v>
      </c>
      <c r="O353">
        <v>3900</v>
      </c>
      <c r="P353">
        <v>1497.3</v>
      </c>
      <c r="Q353" t="s">
        <v>69</v>
      </c>
      <c r="R353" t="s">
        <v>28</v>
      </c>
      <c r="S353">
        <v>4</v>
      </c>
    </row>
    <row r="354" spans="1:19">
      <c r="A354" t="s">
        <v>675</v>
      </c>
      <c r="B354" s="2">
        <v>45753</v>
      </c>
      <c r="C354" t="s">
        <v>676</v>
      </c>
      <c r="D354" t="s">
        <v>293</v>
      </c>
      <c r="E354" t="s">
        <v>22</v>
      </c>
      <c r="F354">
        <v>35</v>
      </c>
      <c r="G354" t="s">
        <v>23</v>
      </c>
      <c r="H354" t="s">
        <v>24</v>
      </c>
      <c r="I354" t="s">
        <v>117</v>
      </c>
      <c r="J354" t="s">
        <v>152</v>
      </c>
      <c r="K354">
        <v>1</v>
      </c>
      <c r="L354">
        <v>899</v>
      </c>
      <c r="M354" s="3">
        <v>0.2</v>
      </c>
      <c r="N354">
        <v>719.2</v>
      </c>
      <c r="O354">
        <v>500</v>
      </c>
      <c r="P354">
        <v>219.2</v>
      </c>
      <c r="Q354" t="s">
        <v>37</v>
      </c>
      <c r="R354" t="s">
        <v>28</v>
      </c>
      <c r="S354">
        <v>5</v>
      </c>
    </row>
    <row r="355" spans="1:19">
      <c r="A355" t="s">
        <v>677</v>
      </c>
      <c r="B355" s="2">
        <v>45826</v>
      </c>
      <c r="C355" t="s">
        <v>148</v>
      </c>
      <c r="D355" t="s">
        <v>47</v>
      </c>
      <c r="E355" t="s">
        <v>22</v>
      </c>
      <c r="F355">
        <v>23</v>
      </c>
      <c r="G355" t="s">
        <v>93</v>
      </c>
      <c r="H355" t="s">
        <v>94</v>
      </c>
      <c r="I355" t="s">
        <v>117</v>
      </c>
      <c r="J355" t="s">
        <v>238</v>
      </c>
      <c r="K355">
        <v>1</v>
      </c>
      <c r="L355">
        <v>2499</v>
      </c>
      <c r="M355" s="3">
        <v>0.15</v>
      </c>
      <c r="N355">
        <v>2124.15</v>
      </c>
      <c r="O355">
        <v>1500</v>
      </c>
      <c r="P355">
        <v>624.15</v>
      </c>
      <c r="Q355" t="s">
        <v>50</v>
      </c>
      <c r="R355" t="s">
        <v>77</v>
      </c>
      <c r="S355">
        <v>2</v>
      </c>
    </row>
    <row r="356" spans="1:19">
      <c r="A356" t="s">
        <v>678</v>
      </c>
      <c r="B356" s="2">
        <v>45852</v>
      </c>
      <c r="C356" t="s">
        <v>332</v>
      </c>
      <c r="D356" t="s">
        <v>333</v>
      </c>
      <c r="E356" t="s">
        <v>32</v>
      </c>
      <c r="F356">
        <v>28</v>
      </c>
      <c r="G356" t="s">
        <v>93</v>
      </c>
      <c r="H356" t="s">
        <v>94</v>
      </c>
      <c r="I356" t="s">
        <v>25</v>
      </c>
      <c r="J356" t="s">
        <v>56</v>
      </c>
      <c r="K356">
        <v>3</v>
      </c>
      <c r="L356">
        <v>899</v>
      </c>
      <c r="M356" s="3">
        <v>0.05</v>
      </c>
      <c r="N356">
        <v>2562.15</v>
      </c>
      <c r="O356">
        <v>1650</v>
      </c>
      <c r="P356">
        <v>912.15</v>
      </c>
      <c r="Q356" t="s">
        <v>66</v>
      </c>
      <c r="R356" t="s">
        <v>28</v>
      </c>
      <c r="S356">
        <v>5</v>
      </c>
    </row>
    <row r="357" spans="1:19">
      <c r="A357" t="s">
        <v>679</v>
      </c>
      <c r="B357" s="2">
        <v>45901</v>
      </c>
      <c r="C357" t="s">
        <v>393</v>
      </c>
      <c r="D357" t="s">
        <v>394</v>
      </c>
      <c r="E357" t="s">
        <v>22</v>
      </c>
      <c r="F357">
        <v>26</v>
      </c>
      <c r="G357" t="s">
        <v>41</v>
      </c>
      <c r="H357" t="s">
        <v>42</v>
      </c>
      <c r="I357" t="s">
        <v>117</v>
      </c>
      <c r="J357" t="s">
        <v>118</v>
      </c>
      <c r="K357">
        <v>3</v>
      </c>
      <c r="L357">
        <v>999</v>
      </c>
      <c r="M357" s="3">
        <v>0.1</v>
      </c>
      <c r="N357">
        <v>2697.3</v>
      </c>
      <c r="O357">
        <v>1650</v>
      </c>
      <c r="P357">
        <v>1047.3</v>
      </c>
      <c r="Q357" t="s">
        <v>69</v>
      </c>
      <c r="R357" t="s">
        <v>28</v>
      </c>
      <c r="S357">
        <v>5</v>
      </c>
    </row>
    <row r="358" spans="1:19">
      <c r="A358" t="s">
        <v>680</v>
      </c>
      <c r="B358" s="2">
        <v>46027</v>
      </c>
      <c r="C358" t="s">
        <v>397</v>
      </c>
      <c r="D358" t="s">
        <v>284</v>
      </c>
      <c r="E358" t="s">
        <v>22</v>
      </c>
      <c r="F358">
        <v>51</v>
      </c>
      <c r="G358" t="s">
        <v>33</v>
      </c>
      <c r="H358" t="s">
        <v>34</v>
      </c>
      <c r="I358" t="s">
        <v>35</v>
      </c>
      <c r="J358" t="s">
        <v>36</v>
      </c>
      <c r="K358">
        <v>2</v>
      </c>
      <c r="L358">
        <v>599</v>
      </c>
      <c r="M358" s="3">
        <v>0</v>
      </c>
      <c r="N358">
        <v>1198</v>
      </c>
      <c r="O358">
        <v>640</v>
      </c>
      <c r="P358">
        <v>558</v>
      </c>
      <c r="Q358" t="s">
        <v>69</v>
      </c>
      <c r="R358" t="s">
        <v>28</v>
      </c>
      <c r="S358">
        <v>3</v>
      </c>
    </row>
    <row r="359" spans="1:19">
      <c r="A359" t="s">
        <v>681</v>
      </c>
      <c r="B359" s="2">
        <v>45869</v>
      </c>
      <c r="C359" t="s">
        <v>448</v>
      </c>
      <c r="D359" t="s">
        <v>449</v>
      </c>
      <c r="E359" t="s">
        <v>22</v>
      </c>
      <c r="F359">
        <v>43</v>
      </c>
      <c r="G359" t="s">
        <v>81</v>
      </c>
      <c r="H359" t="s">
        <v>82</v>
      </c>
      <c r="I359" t="s">
        <v>43</v>
      </c>
      <c r="J359" t="s">
        <v>49</v>
      </c>
      <c r="K359">
        <v>1</v>
      </c>
      <c r="L359">
        <v>799</v>
      </c>
      <c r="M359" s="3">
        <v>0</v>
      </c>
      <c r="N359">
        <v>799</v>
      </c>
      <c r="O359">
        <v>450</v>
      </c>
      <c r="P359">
        <v>349</v>
      </c>
      <c r="Q359" t="s">
        <v>27</v>
      </c>
      <c r="R359" t="s">
        <v>28</v>
      </c>
      <c r="S359">
        <v>1</v>
      </c>
    </row>
    <row r="360" spans="1:19">
      <c r="A360" t="s">
        <v>682</v>
      </c>
      <c r="B360" s="2">
        <v>46140</v>
      </c>
      <c r="C360" t="s">
        <v>433</v>
      </c>
      <c r="D360" t="s">
        <v>92</v>
      </c>
      <c r="E360" t="s">
        <v>32</v>
      </c>
      <c r="F360">
        <v>28</v>
      </c>
      <c r="G360" t="s">
        <v>93</v>
      </c>
      <c r="H360" t="s">
        <v>94</v>
      </c>
      <c r="I360" t="s">
        <v>25</v>
      </c>
      <c r="J360" t="s">
        <v>56</v>
      </c>
      <c r="K360">
        <v>3</v>
      </c>
      <c r="L360">
        <v>899</v>
      </c>
      <c r="M360" s="3">
        <v>0.15</v>
      </c>
      <c r="N360">
        <v>2292.4499999999998</v>
      </c>
      <c r="O360">
        <v>1650</v>
      </c>
      <c r="P360">
        <v>642.45000000000005</v>
      </c>
      <c r="Q360" t="s">
        <v>66</v>
      </c>
      <c r="R360" t="s">
        <v>77</v>
      </c>
      <c r="S360">
        <v>3</v>
      </c>
    </row>
    <row r="361" spans="1:19">
      <c r="A361" t="s">
        <v>683</v>
      </c>
      <c r="B361" s="2">
        <v>46037</v>
      </c>
      <c r="C361" t="s">
        <v>637</v>
      </c>
      <c r="D361" t="s">
        <v>638</v>
      </c>
      <c r="E361" t="s">
        <v>22</v>
      </c>
      <c r="F361">
        <v>25</v>
      </c>
      <c r="G361" t="s">
        <v>141</v>
      </c>
      <c r="H361" t="s">
        <v>142</v>
      </c>
      <c r="I361" t="s">
        <v>75</v>
      </c>
      <c r="J361" t="s">
        <v>76</v>
      </c>
      <c r="K361">
        <v>4</v>
      </c>
      <c r="L361">
        <v>399</v>
      </c>
      <c r="M361" s="3">
        <v>0.05</v>
      </c>
      <c r="N361">
        <v>1516.2</v>
      </c>
      <c r="O361">
        <v>880</v>
      </c>
      <c r="P361">
        <v>636.20000000000005</v>
      </c>
      <c r="Q361" t="s">
        <v>66</v>
      </c>
      <c r="R361" t="s">
        <v>28</v>
      </c>
      <c r="S361">
        <v>4</v>
      </c>
    </row>
    <row r="362" spans="1:19">
      <c r="A362" t="s">
        <v>684</v>
      </c>
      <c r="B362" s="2">
        <v>45927</v>
      </c>
      <c r="C362" t="s">
        <v>166</v>
      </c>
      <c r="D362" t="s">
        <v>167</v>
      </c>
      <c r="E362" t="s">
        <v>22</v>
      </c>
      <c r="F362">
        <v>36</v>
      </c>
      <c r="G362" t="s">
        <v>146</v>
      </c>
      <c r="H362" t="s">
        <v>61</v>
      </c>
      <c r="I362" t="s">
        <v>43</v>
      </c>
      <c r="J362" t="s">
        <v>197</v>
      </c>
      <c r="K362">
        <v>4</v>
      </c>
      <c r="L362">
        <v>1799</v>
      </c>
      <c r="M362" s="3">
        <v>0.15</v>
      </c>
      <c r="N362">
        <v>6116.6</v>
      </c>
      <c r="O362">
        <v>4200</v>
      </c>
      <c r="P362">
        <v>1916.6</v>
      </c>
      <c r="Q362" t="s">
        <v>27</v>
      </c>
      <c r="R362" t="s">
        <v>137</v>
      </c>
      <c r="S362">
        <v>1</v>
      </c>
    </row>
    <row r="363" spans="1:19">
      <c r="A363" t="s">
        <v>685</v>
      </c>
      <c r="B363" s="2">
        <v>46010</v>
      </c>
      <c r="C363" t="s">
        <v>158</v>
      </c>
      <c r="D363" t="s">
        <v>159</v>
      </c>
      <c r="E363" t="s">
        <v>32</v>
      </c>
      <c r="F363">
        <v>19</v>
      </c>
      <c r="G363" t="s">
        <v>60</v>
      </c>
      <c r="H363" t="s">
        <v>61</v>
      </c>
      <c r="I363" t="s">
        <v>117</v>
      </c>
      <c r="J363" t="s">
        <v>238</v>
      </c>
      <c r="K363">
        <v>1</v>
      </c>
      <c r="L363">
        <v>2499</v>
      </c>
      <c r="M363" s="3">
        <v>0</v>
      </c>
      <c r="N363">
        <v>2499</v>
      </c>
      <c r="O363">
        <v>1500</v>
      </c>
      <c r="P363">
        <v>999</v>
      </c>
      <c r="Q363" t="s">
        <v>50</v>
      </c>
      <c r="R363" t="s">
        <v>28</v>
      </c>
      <c r="S363">
        <v>5</v>
      </c>
    </row>
    <row r="364" spans="1:19">
      <c r="A364" t="s">
        <v>686</v>
      </c>
      <c r="B364" s="2">
        <v>46193</v>
      </c>
      <c r="C364" t="s">
        <v>183</v>
      </c>
      <c r="D364" t="s">
        <v>184</v>
      </c>
      <c r="E364" t="s">
        <v>22</v>
      </c>
      <c r="F364">
        <v>43</v>
      </c>
      <c r="G364" t="s">
        <v>60</v>
      </c>
      <c r="H364" t="s">
        <v>61</v>
      </c>
      <c r="I364" t="s">
        <v>35</v>
      </c>
      <c r="J364" t="s">
        <v>126</v>
      </c>
      <c r="K364">
        <v>1</v>
      </c>
      <c r="L364">
        <v>1499</v>
      </c>
      <c r="M364" s="3">
        <v>0.15</v>
      </c>
      <c r="N364">
        <v>1274.1500000000001</v>
      </c>
      <c r="O364">
        <v>850</v>
      </c>
      <c r="P364">
        <v>424.15</v>
      </c>
      <c r="Q364" t="s">
        <v>66</v>
      </c>
      <c r="R364" t="s">
        <v>51</v>
      </c>
      <c r="S364">
        <v>4</v>
      </c>
    </row>
    <row r="365" spans="1:19">
      <c r="A365" t="s">
        <v>687</v>
      </c>
      <c r="B365" s="2">
        <v>45738</v>
      </c>
      <c r="C365" t="s">
        <v>283</v>
      </c>
      <c r="D365" t="s">
        <v>284</v>
      </c>
      <c r="E365" t="s">
        <v>32</v>
      </c>
      <c r="F365">
        <v>39</v>
      </c>
      <c r="G365" t="s">
        <v>55</v>
      </c>
      <c r="H365" t="s">
        <v>34</v>
      </c>
      <c r="I365" t="s">
        <v>43</v>
      </c>
      <c r="J365" t="s">
        <v>281</v>
      </c>
      <c r="K365">
        <v>4</v>
      </c>
      <c r="L365">
        <v>2999</v>
      </c>
      <c r="M365" s="3">
        <v>0.1</v>
      </c>
      <c r="N365">
        <v>10796.4</v>
      </c>
      <c r="O365">
        <v>7200</v>
      </c>
      <c r="P365">
        <v>3596.4</v>
      </c>
      <c r="Q365" t="s">
        <v>66</v>
      </c>
      <c r="R365" t="s">
        <v>77</v>
      </c>
      <c r="S365">
        <v>1</v>
      </c>
    </row>
    <row r="366" spans="1:19">
      <c r="A366" t="s">
        <v>688</v>
      </c>
      <c r="B366" s="2">
        <v>46117</v>
      </c>
      <c r="C366" t="s">
        <v>304</v>
      </c>
      <c r="D366" t="s">
        <v>305</v>
      </c>
      <c r="E366" t="s">
        <v>32</v>
      </c>
      <c r="F366">
        <v>32</v>
      </c>
      <c r="G366" t="s">
        <v>146</v>
      </c>
      <c r="H366" t="s">
        <v>61</v>
      </c>
      <c r="I366" t="s">
        <v>75</v>
      </c>
      <c r="J366" t="s">
        <v>86</v>
      </c>
      <c r="K366">
        <v>2</v>
      </c>
      <c r="L366">
        <v>499</v>
      </c>
      <c r="M366" s="3">
        <v>0</v>
      </c>
      <c r="N366">
        <v>998</v>
      </c>
      <c r="O366">
        <v>600</v>
      </c>
      <c r="P366">
        <v>398</v>
      </c>
      <c r="Q366" t="s">
        <v>27</v>
      </c>
      <c r="R366" t="s">
        <v>77</v>
      </c>
      <c r="S366">
        <v>2</v>
      </c>
    </row>
    <row r="367" spans="1:19">
      <c r="A367" t="s">
        <v>689</v>
      </c>
      <c r="B367" s="2">
        <v>46091</v>
      </c>
      <c r="C367" t="s">
        <v>585</v>
      </c>
      <c r="D367" t="s">
        <v>586</v>
      </c>
      <c r="E367" t="s">
        <v>32</v>
      </c>
      <c r="F367">
        <v>31</v>
      </c>
      <c r="G367" t="s">
        <v>48</v>
      </c>
      <c r="H367" t="s">
        <v>42</v>
      </c>
      <c r="I367" t="s">
        <v>43</v>
      </c>
      <c r="J367" t="s">
        <v>49</v>
      </c>
      <c r="K367">
        <v>2</v>
      </c>
      <c r="L367">
        <v>799</v>
      </c>
      <c r="M367" s="3">
        <v>0</v>
      </c>
      <c r="N367">
        <v>1598</v>
      </c>
      <c r="O367">
        <v>900</v>
      </c>
      <c r="P367">
        <v>698</v>
      </c>
      <c r="Q367" t="s">
        <v>69</v>
      </c>
      <c r="R367" t="s">
        <v>51</v>
      </c>
      <c r="S367">
        <v>4</v>
      </c>
    </row>
    <row r="368" spans="1:19">
      <c r="A368" t="s">
        <v>690</v>
      </c>
      <c r="B368" s="2">
        <v>45922</v>
      </c>
      <c r="C368" t="s">
        <v>216</v>
      </c>
      <c r="D368" t="s">
        <v>217</v>
      </c>
      <c r="E368" t="s">
        <v>22</v>
      </c>
      <c r="F368">
        <v>43</v>
      </c>
      <c r="G368" t="s">
        <v>115</v>
      </c>
      <c r="H368" t="s">
        <v>116</v>
      </c>
      <c r="I368" t="s">
        <v>75</v>
      </c>
      <c r="J368" t="s">
        <v>76</v>
      </c>
      <c r="K368">
        <v>2</v>
      </c>
      <c r="L368">
        <v>399</v>
      </c>
      <c r="M368" s="3">
        <v>0.2</v>
      </c>
      <c r="N368">
        <v>638.4</v>
      </c>
      <c r="O368">
        <v>440</v>
      </c>
      <c r="P368">
        <v>198.4</v>
      </c>
      <c r="Q368" t="s">
        <v>37</v>
      </c>
      <c r="R368" t="s">
        <v>77</v>
      </c>
      <c r="S368">
        <v>1</v>
      </c>
    </row>
    <row r="369" spans="1:19">
      <c r="A369" t="s">
        <v>691</v>
      </c>
      <c r="B369" s="2">
        <v>45991</v>
      </c>
      <c r="C369" t="s">
        <v>692</v>
      </c>
      <c r="D369" t="s">
        <v>343</v>
      </c>
      <c r="E369" t="s">
        <v>22</v>
      </c>
      <c r="F369">
        <v>50</v>
      </c>
      <c r="G369" t="s">
        <v>48</v>
      </c>
      <c r="H369" t="s">
        <v>42</v>
      </c>
      <c r="I369" t="s">
        <v>163</v>
      </c>
      <c r="J369" t="s">
        <v>290</v>
      </c>
      <c r="K369">
        <v>4</v>
      </c>
      <c r="L369">
        <v>1999</v>
      </c>
      <c r="M369" s="3">
        <v>0.2</v>
      </c>
      <c r="N369">
        <v>6396.8</v>
      </c>
      <c r="O369">
        <v>4800</v>
      </c>
      <c r="P369">
        <v>1596.8</v>
      </c>
      <c r="Q369" t="s">
        <v>37</v>
      </c>
      <c r="R369" t="s">
        <v>28</v>
      </c>
      <c r="S369">
        <v>1</v>
      </c>
    </row>
    <row r="370" spans="1:19">
      <c r="A370" t="s">
        <v>693</v>
      </c>
      <c r="B370" s="2">
        <v>45811</v>
      </c>
      <c r="C370" t="s">
        <v>329</v>
      </c>
      <c r="D370" t="s">
        <v>330</v>
      </c>
      <c r="E370" t="s">
        <v>22</v>
      </c>
      <c r="F370">
        <v>28</v>
      </c>
      <c r="G370" t="s">
        <v>81</v>
      </c>
      <c r="H370" t="s">
        <v>82</v>
      </c>
      <c r="I370" t="s">
        <v>163</v>
      </c>
      <c r="J370" t="s">
        <v>234</v>
      </c>
      <c r="K370">
        <v>1</v>
      </c>
      <c r="L370">
        <v>999</v>
      </c>
      <c r="M370" s="3">
        <v>0.15</v>
      </c>
      <c r="N370">
        <v>849.15</v>
      </c>
      <c r="O370">
        <v>600</v>
      </c>
      <c r="P370">
        <v>249.15</v>
      </c>
      <c r="Q370" t="s">
        <v>27</v>
      </c>
      <c r="R370" t="s">
        <v>28</v>
      </c>
      <c r="S370">
        <v>5</v>
      </c>
    </row>
    <row r="371" spans="1:19">
      <c r="A371" t="s">
        <v>694</v>
      </c>
      <c r="B371" s="2">
        <v>46206</v>
      </c>
      <c r="C371" t="s">
        <v>240</v>
      </c>
      <c r="D371" t="s">
        <v>241</v>
      </c>
      <c r="E371" t="s">
        <v>32</v>
      </c>
      <c r="F371">
        <v>51</v>
      </c>
      <c r="G371" t="s">
        <v>81</v>
      </c>
      <c r="H371" t="s">
        <v>82</v>
      </c>
      <c r="I371" t="s">
        <v>25</v>
      </c>
      <c r="J371" t="s">
        <v>56</v>
      </c>
      <c r="K371">
        <v>1</v>
      </c>
      <c r="L371">
        <v>899</v>
      </c>
      <c r="M371" s="3">
        <v>0.1</v>
      </c>
      <c r="N371">
        <v>809.1</v>
      </c>
      <c r="O371">
        <v>550</v>
      </c>
      <c r="P371">
        <v>259.10000000000002</v>
      </c>
      <c r="Q371" t="s">
        <v>37</v>
      </c>
      <c r="R371" t="s">
        <v>137</v>
      </c>
      <c r="S371">
        <v>3</v>
      </c>
    </row>
    <row r="372" spans="1:19">
      <c r="A372" t="s">
        <v>695</v>
      </c>
      <c r="B372" s="2">
        <v>46142</v>
      </c>
      <c r="C372" t="s">
        <v>202</v>
      </c>
      <c r="D372" t="s">
        <v>89</v>
      </c>
      <c r="E372" t="s">
        <v>22</v>
      </c>
      <c r="F372">
        <v>50</v>
      </c>
      <c r="G372" t="s">
        <v>93</v>
      </c>
      <c r="H372" t="s">
        <v>94</v>
      </c>
      <c r="I372" t="s">
        <v>75</v>
      </c>
      <c r="J372" t="s">
        <v>76</v>
      </c>
      <c r="K372">
        <v>4</v>
      </c>
      <c r="L372">
        <v>399</v>
      </c>
      <c r="M372" s="3">
        <v>0.2</v>
      </c>
      <c r="N372">
        <v>1276.8</v>
      </c>
      <c r="O372">
        <v>880</v>
      </c>
      <c r="P372">
        <v>396.8</v>
      </c>
      <c r="Q372" t="s">
        <v>69</v>
      </c>
      <c r="R372" t="s">
        <v>28</v>
      </c>
      <c r="S372">
        <v>4</v>
      </c>
    </row>
    <row r="373" spans="1:19">
      <c r="A373" t="s">
        <v>696</v>
      </c>
      <c r="B373" s="2">
        <v>46063</v>
      </c>
      <c r="C373" t="s">
        <v>598</v>
      </c>
      <c r="D373" t="s">
        <v>225</v>
      </c>
      <c r="E373" t="s">
        <v>22</v>
      </c>
      <c r="F373">
        <v>37</v>
      </c>
      <c r="G373" t="s">
        <v>48</v>
      </c>
      <c r="H373" t="s">
        <v>42</v>
      </c>
      <c r="I373" t="s">
        <v>75</v>
      </c>
      <c r="J373" t="s">
        <v>106</v>
      </c>
      <c r="K373">
        <v>4</v>
      </c>
      <c r="L373">
        <v>899</v>
      </c>
      <c r="M373" s="3">
        <v>0</v>
      </c>
      <c r="N373">
        <v>3596</v>
      </c>
      <c r="O373">
        <v>2400</v>
      </c>
      <c r="P373">
        <v>1196</v>
      </c>
      <c r="Q373" t="s">
        <v>37</v>
      </c>
      <c r="R373" t="s">
        <v>28</v>
      </c>
      <c r="S373">
        <v>1</v>
      </c>
    </row>
    <row r="374" spans="1:19">
      <c r="A374" t="s">
        <v>697</v>
      </c>
      <c r="B374" s="2">
        <v>46003</v>
      </c>
      <c r="C374" t="s">
        <v>433</v>
      </c>
      <c r="D374" t="s">
        <v>92</v>
      </c>
      <c r="E374" t="s">
        <v>32</v>
      </c>
      <c r="F374">
        <v>28</v>
      </c>
      <c r="G374" t="s">
        <v>93</v>
      </c>
      <c r="H374" t="s">
        <v>94</v>
      </c>
      <c r="I374" t="s">
        <v>43</v>
      </c>
      <c r="J374" t="s">
        <v>197</v>
      </c>
      <c r="K374">
        <v>3</v>
      </c>
      <c r="L374">
        <v>1799</v>
      </c>
      <c r="M374" s="3">
        <v>0</v>
      </c>
      <c r="N374">
        <v>5397</v>
      </c>
      <c r="O374">
        <v>3150</v>
      </c>
      <c r="P374">
        <v>2247</v>
      </c>
      <c r="Q374" t="s">
        <v>37</v>
      </c>
      <c r="R374" t="s">
        <v>28</v>
      </c>
      <c r="S374">
        <v>4</v>
      </c>
    </row>
    <row r="375" spans="1:19">
      <c r="A375" t="s">
        <v>698</v>
      </c>
      <c r="B375" s="2">
        <v>46111</v>
      </c>
      <c r="C375" t="s">
        <v>240</v>
      </c>
      <c r="D375" t="s">
        <v>241</v>
      </c>
      <c r="E375" t="s">
        <v>32</v>
      </c>
      <c r="F375">
        <v>51</v>
      </c>
      <c r="G375" t="s">
        <v>81</v>
      </c>
      <c r="H375" t="s">
        <v>82</v>
      </c>
      <c r="I375" t="s">
        <v>43</v>
      </c>
      <c r="J375" t="s">
        <v>281</v>
      </c>
      <c r="K375">
        <v>2</v>
      </c>
      <c r="L375">
        <v>2999</v>
      </c>
      <c r="M375" s="3">
        <v>0.1</v>
      </c>
      <c r="N375">
        <v>5398.2</v>
      </c>
      <c r="O375">
        <v>3600</v>
      </c>
      <c r="P375">
        <v>1798.2</v>
      </c>
      <c r="Q375" t="s">
        <v>37</v>
      </c>
      <c r="R375" t="s">
        <v>28</v>
      </c>
      <c r="S375">
        <v>4</v>
      </c>
    </row>
    <row r="376" spans="1:19">
      <c r="A376" t="s">
        <v>699</v>
      </c>
      <c r="B376" s="2">
        <v>46074</v>
      </c>
      <c r="C376" t="s">
        <v>692</v>
      </c>
      <c r="D376" t="s">
        <v>343</v>
      </c>
      <c r="E376" t="s">
        <v>22</v>
      </c>
      <c r="F376">
        <v>50</v>
      </c>
      <c r="G376" t="s">
        <v>48</v>
      </c>
      <c r="H376" t="s">
        <v>42</v>
      </c>
      <c r="I376" t="s">
        <v>43</v>
      </c>
      <c r="J376" t="s">
        <v>49</v>
      </c>
      <c r="K376">
        <v>4</v>
      </c>
      <c r="L376">
        <v>799</v>
      </c>
      <c r="M376" s="3">
        <v>0.05</v>
      </c>
      <c r="N376">
        <v>3036.2</v>
      </c>
      <c r="O376">
        <v>1800</v>
      </c>
      <c r="P376">
        <v>1236.2</v>
      </c>
      <c r="Q376" t="s">
        <v>66</v>
      </c>
      <c r="R376" t="s">
        <v>28</v>
      </c>
      <c r="S376">
        <v>3</v>
      </c>
    </row>
    <row r="377" spans="1:19">
      <c r="A377" t="s">
        <v>700</v>
      </c>
      <c r="B377" s="2">
        <v>45976</v>
      </c>
      <c r="C377" t="s">
        <v>384</v>
      </c>
      <c r="D377" t="s">
        <v>385</v>
      </c>
      <c r="E377" t="s">
        <v>32</v>
      </c>
      <c r="F377">
        <v>22</v>
      </c>
      <c r="G377" t="s">
        <v>48</v>
      </c>
      <c r="H377" t="s">
        <v>42</v>
      </c>
      <c r="I377" t="s">
        <v>35</v>
      </c>
      <c r="J377" t="s">
        <v>108</v>
      </c>
      <c r="K377">
        <v>2</v>
      </c>
      <c r="L377">
        <v>699</v>
      </c>
      <c r="M377" s="3">
        <v>0</v>
      </c>
      <c r="N377">
        <v>1398</v>
      </c>
      <c r="O377">
        <v>760</v>
      </c>
      <c r="P377">
        <v>638</v>
      </c>
      <c r="Q377" t="s">
        <v>50</v>
      </c>
      <c r="R377" t="s">
        <v>28</v>
      </c>
      <c r="S377">
        <v>5</v>
      </c>
    </row>
    <row r="378" spans="1:19">
      <c r="A378" t="s">
        <v>701</v>
      </c>
      <c r="B378" s="2">
        <v>45863</v>
      </c>
      <c r="C378" t="s">
        <v>292</v>
      </c>
      <c r="D378" t="s">
        <v>293</v>
      </c>
      <c r="E378" t="s">
        <v>32</v>
      </c>
      <c r="F378">
        <v>29</v>
      </c>
      <c r="G378" t="s">
        <v>180</v>
      </c>
      <c r="H378" t="s">
        <v>181</v>
      </c>
      <c r="I378" t="s">
        <v>25</v>
      </c>
      <c r="J378" t="s">
        <v>156</v>
      </c>
      <c r="K378">
        <v>2</v>
      </c>
      <c r="L378">
        <v>1999</v>
      </c>
      <c r="M378" s="3">
        <v>0.05</v>
      </c>
      <c r="N378">
        <v>3798.1</v>
      </c>
      <c r="O378">
        <v>2600</v>
      </c>
      <c r="P378">
        <v>1198.0999999999999</v>
      </c>
      <c r="Q378" t="s">
        <v>69</v>
      </c>
      <c r="R378" t="s">
        <v>28</v>
      </c>
      <c r="S378">
        <v>4</v>
      </c>
    </row>
    <row r="379" spans="1:19">
      <c r="A379" t="s">
        <v>702</v>
      </c>
      <c r="B379" s="2">
        <v>46035</v>
      </c>
      <c r="C379" t="s">
        <v>506</v>
      </c>
      <c r="D379" t="s">
        <v>414</v>
      </c>
      <c r="E379" t="s">
        <v>22</v>
      </c>
      <c r="F379">
        <v>42</v>
      </c>
      <c r="G379" t="s">
        <v>180</v>
      </c>
      <c r="H379" t="s">
        <v>181</v>
      </c>
      <c r="I379" t="s">
        <v>163</v>
      </c>
      <c r="J379" t="s">
        <v>214</v>
      </c>
      <c r="K379">
        <v>2</v>
      </c>
      <c r="L379">
        <v>1499</v>
      </c>
      <c r="M379" s="3">
        <v>0.1</v>
      </c>
      <c r="N379">
        <v>2698.2</v>
      </c>
      <c r="O379">
        <v>1800</v>
      </c>
      <c r="P379">
        <v>898.2</v>
      </c>
      <c r="Q379" t="s">
        <v>66</v>
      </c>
      <c r="R379" t="s">
        <v>28</v>
      </c>
      <c r="S379">
        <v>1</v>
      </c>
    </row>
    <row r="380" spans="1:19">
      <c r="A380" t="s">
        <v>703</v>
      </c>
      <c r="B380" s="2">
        <v>46266</v>
      </c>
      <c r="C380" t="s">
        <v>186</v>
      </c>
      <c r="D380" t="s">
        <v>187</v>
      </c>
      <c r="E380" t="s">
        <v>22</v>
      </c>
      <c r="F380">
        <v>42</v>
      </c>
      <c r="G380" t="s">
        <v>60</v>
      </c>
      <c r="H380" t="s">
        <v>61</v>
      </c>
      <c r="I380" t="s">
        <v>43</v>
      </c>
      <c r="J380" t="s">
        <v>281</v>
      </c>
      <c r="K380">
        <v>3</v>
      </c>
      <c r="L380">
        <v>2999</v>
      </c>
      <c r="M380" s="3">
        <v>0.15</v>
      </c>
      <c r="N380">
        <v>7647.45</v>
      </c>
      <c r="O380">
        <v>5400</v>
      </c>
      <c r="P380">
        <v>2247.4499999999998</v>
      </c>
      <c r="Q380" t="s">
        <v>66</v>
      </c>
      <c r="R380" t="s">
        <v>28</v>
      </c>
      <c r="S380">
        <v>4</v>
      </c>
    </row>
    <row r="381" spans="1:19">
      <c r="A381" t="s">
        <v>704</v>
      </c>
      <c r="B381" s="2">
        <v>45922</v>
      </c>
      <c r="C381" t="s">
        <v>705</v>
      </c>
      <c r="D381" t="s">
        <v>98</v>
      </c>
      <c r="E381" t="s">
        <v>32</v>
      </c>
      <c r="F381">
        <v>47</v>
      </c>
      <c r="G381" t="s">
        <v>141</v>
      </c>
      <c r="H381" t="s">
        <v>142</v>
      </c>
      <c r="I381" t="s">
        <v>163</v>
      </c>
      <c r="J381" t="s">
        <v>214</v>
      </c>
      <c r="K381">
        <v>3</v>
      </c>
      <c r="L381">
        <v>1499</v>
      </c>
      <c r="M381" s="3">
        <v>0.05</v>
      </c>
      <c r="N381">
        <v>4272.1499999999996</v>
      </c>
      <c r="O381">
        <v>2700</v>
      </c>
      <c r="P381">
        <v>1572.15</v>
      </c>
      <c r="Q381" t="s">
        <v>69</v>
      </c>
      <c r="R381" t="s">
        <v>28</v>
      </c>
      <c r="S381">
        <v>4</v>
      </c>
    </row>
    <row r="382" spans="1:19">
      <c r="A382" t="s">
        <v>706</v>
      </c>
      <c r="B382" s="2">
        <v>45888</v>
      </c>
      <c r="C382" t="s">
        <v>506</v>
      </c>
      <c r="D382" t="s">
        <v>414</v>
      </c>
      <c r="E382" t="s">
        <v>22</v>
      </c>
      <c r="F382">
        <v>42</v>
      </c>
      <c r="G382" t="s">
        <v>180</v>
      </c>
      <c r="H382" t="s">
        <v>181</v>
      </c>
      <c r="I382" t="s">
        <v>43</v>
      </c>
      <c r="J382" t="s">
        <v>95</v>
      </c>
      <c r="K382">
        <v>2</v>
      </c>
      <c r="L382">
        <v>2499</v>
      </c>
      <c r="M382" s="3">
        <v>0.05</v>
      </c>
      <c r="N382">
        <v>4748.1000000000004</v>
      </c>
      <c r="O382">
        <v>3000</v>
      </c>
      <c r="P382">
        <v>1748.1</v>
      </c>
      <c r="Q382" t="s">
        <v>27</v>
      </c>
      <c r="R382" t="s">
        <v>28</v>
      </c>
      <c r="S382">
        <v>4</v>
      </c>
    </row>
    <row r="383" spans="1:19">
      <c r="A383" t="s">
        <v>707</v>
      </c>
      <c r="B383" s="2">
        <v>45793</v>
      </c>
      <c r="C383" t="s">
        <v>365</v>
      </c>
      <c r="D383" t="s">
        <v>366</v>
      </c>
      <c r="E383" t="s">
        <v>22</v>
      </c>
      <c r="F383">
        <v>54</v>
      </c>
      <c r="G383" t="s">
        <v>93</v>
      </c>
      <c r="H383" t="s">
        <v>94</v>
      </c>
      <c r="I383" t="s">
        <v>25</v>
      </c>
      <c r="J383" t="s">
        <v>156</v>
      </c>
      <c r="K383">
        <v>1</v>
      </c>
      <c r="L383">
        <v>1999</v>
      </c>
      <c r="M383" s="3">
        <v>0.15</v>
      </c>
      <c r="N383">
        <v>1699.15</v>
      </c>
      <c r="O383">
        <v>1300</v>
      </c>
      <c r="P383">
        <v>399.15</v>
      </c>
      <c r="Q383" t="s">
        <v>27</v>
      </c>
      <c r="R383" t="s">
        <v>28</v>
      </c>
      <c r="S383">
        <v>1</v>
      </c>
    </row>
    <row r="384" spans="1:19">
      <c r="A384" t="s">
        <v>708</v>
      </c>
      <c r="B384" s="2">
        <v>46091</v>
      </c>
      <c r="C384" t="s">
        <v>479</v>
      </c>
      <c r="D384" t="s">
        <v>480</v>
      </c>
      <c r="E384" t="s">
        <v>22</v>
      </c>
      <c r="F384">
        <v>29</v>
      </c>
      <c r="G384" t="s">
        <v>146</v>
      </c>
      <c r="H384" t="s">
        <v>61</v>
      </c>
      <c r="I384" t="s">
        <v>43</v>
      </c>
      <c r="J384" t="s">
        <v>197</v>
      </c>
      <c r="K384">
        <v>3</v>
      </c>
      <c r="L384">
        <v>1799</v>
      </c>
      <c r="M384" s="3">
        <v>0.1</v>
      </c>
      <c r="N384">
        <v>4857.3</v>
      </c>
      <c r="O384">
        <v>3150</v>
      </c>
      <c r="P384">
        <v>1707.3</v>
      </c>
      <c r="Q384" t="s">
        <v>66</v>
      </c>
      <c r="R384" t="s">
        <v>137</v>
      </c>
      <c r="S384">
        <v>4</v>
      </c>
    </row>
    <row r="385" spans="1:19">
      <c r="A385" t="s">
        <v>709</v>
      </c>
      <c r="B385" s="2">
        <v>46191</v>
      </c>
      <c r="C385" t="s">
        <v>209</v>
      </c>
      <c r="D385" t="s">
        <v>210</v>
      </c>
      <c r="E385" t="s">
        <v>32</v>
      </c>
      <c r="F385">
        <v>26</v>
      </c>
      <c r="G385" t="s">
        <v>23</v>
      </c>
      <c r="H385" t="s">
        <v>24</v>
      </c>
      <c r="I385" t="s">
        <v>43</v>
      </c>
      <c r="J385" t="s">
        <v>49</v>
      </c>
      <c r="K385">
        <v>4</v>
      </c>
      <c r="L385">
        <v>799</v>
      </c>
      <c r="M385" s="3">
        <v>0.1</v>
      </c>
      <c r="N385">
        <v>2876.4</v>
      </c>
      <c r="O385">
        <v>1800</v>
      </c>
      <c r="P385">
        <v>1076.4000000000001</v>
      </c>
      <c r="Q385" t="s">
        <v>50</v>
      </c>
      <c r="R385" t="s">
        <v>28</v>
      </c>
      <c r="S385">
        <v>1</v>
      </c>
    </row>
    <row r="386" spans="1:19">
      <c r="A386" t="s">
        <v>710</v>
      </c>
      <c r="B386" s="2">
        <v>46266</v>
      </c>
      <c r="C386" t="s">
        <v>300</v>
      </c>
      <c r="D386" t="s">
        <v>301</v>
      </c>
      <c r="E386" t="s">
        <v>22</v>
      </c>
      <c r="F386">
        <v>24</v>
      </c>
      <c r="G386" t="s">
        <v>48</v>
      </c>
      <c r="H386" t="s">
        <v>42</v>
      </c>
      <c r="I386" t="s">
        <v>35</v>
      </c>
      <c r="J386" t="s">
        <v>108</v>
      </c>
      <c r="K386">
        <v>3</v>
      </c>
      <c r="L386">
        <v>699</v>
      </c>
      <c r="M386" s="3">
        <v>0.2</v>
      </c>
      <c r="N386">
        <v>1677.6</v>
      </c>
      <c r="O386">
        <v>1140</v>
      </c>
      <c r="P386">
        <v>537.6</v>
      </c>
      <c r="Q386" t="s">
        <v>50</v>
      </c>
      <c r="R386" t="s">
        <v>28</v>
      </c>
      <c r="S386">
        <v>1</v>
      </c>
    </row>
    <row r="387" spans="1:19">
      <c r="A387" t="s">
        <v>711</v>
      </c>
      <c r="B387" s="2">
        <v>45990</v>
      </c>
      <c r="C387" t="s">
        <v>148</v>
      </c>
      <c r="D387" t="s">
        <v>47</v>
      </c>
      <c r="E387" t="s">
        <v>22</v>
      </c>
      <c r="F387">
        <v>23</v>
      </c>
      <c r="G387" t="s">
        <v>93</v>
      </c>
      <c r="H387" t="s">
        <v>94</v>
      </c>
      <c r="I387" t="s">
        <v>25</v>
      </c>
      <c r="J387" t="s">
        <v>26</v>
      </c>
      <c r="K387">
        <v>3</v>
      </c>
      <c r="L387">
        <v>2499</v>
      </c>
      <c r="M387" s="3">
        <v>0.1</v>
      </c>
      <c r="N387">
        <v>6747.3</v>
      </c>
      <c r="O387">
        <v>4800</v>
      </c>
      <c r="P387">
        <v>1947.3</v>
      </c>
      <c r="Q387" t="s">
        <v>37</v>
      </c>
      <c r="R387" t="s">
        <v>28</v>
      </c>
      <c r="S387">
        <v>3</v>
      </c>
    </row>
    <row r="388" spans="1:19">
      <c r="A388" t="s">
        <v>712</v>
      </c>
      <c r="B388" s="2">
        <v>46071</v>
      </c>
      <c r="C388" t="s">
        <v>603</v>
      </c>
      <c r="D388" t="s">
        <v>604</v>
      </c>
      <c r="E388" t="s">
        <v>32</v>
      </c>
      <c r="F388">
        <v>33</v>
      </c>
      <c r="G388" t="s">
        <v>41</v>
      </c>
      <c r="H388" t="s">
        <v>42</v>
      </c>
      <c r="I388" t="s">
        <v>25</v>
      </c>
      <c r="J388" t="s">
        <v>62</v>
      </c>
      <c r="K388">
        <v>2</v>
      </c>
      <c r="L388">
        <v>1299</v>
      </c>
      <c r="M388" s="3">
        <v>0</v>
      </c>
      <c r="N388">
        <v>2598</v>
      </c>
      <c r="O388">
        <v>1600</v>
      </c>
      <c r="P388">
        <v>998</v>
      </c>
      <c r="Q388" t="s">
        <v>37</v>
      </c>
      <c r="R388" t="s">
        <v>28</v>
      </c>
      <c r="S388">
        <v>1</v>
      </c>
    </row>
    <row r="389" spans="1:19">
      <c r="A389" t="s">
        <v>713</v>
      </c>
      <c r="B389" s="2">
        <v>46072</v>
      </c>
      <c r="C389" t="s">
        <v>207</v>
      </c>
      <c r="D389" t="s">
        <v>72</v>
      </c>
      <c r="E389" t="s">
        <v>22</v>
      </c>
      <c r="F389">
        <v>48</v>
      </c>
      <c r="G389" t="s">
        <v>180</v>
      </c>
      <c r="H389" t="s">
        <v>181</v>
      </c>
      <c r="I389" t="s">
        <v>43</v>
      </c>
      <c r="J389" t="s">
        <v>44</v>
      </c>
      <c r="K389">
        <v>3</v>
      </c>
      <c r="L389">
        <v>1599</v>
      </c>
      <c r="M389" s="3">
        <v>0.15</v>
      </c>
      <c r="N389">
        <v>4077.45</v>
      </c>
      <c r="O389">
        <v>2850</v>
      </c>
      <c r="P389">
        <v>1227.45</v>
      </c>
      <c r="Q389" t="s">
        <v>66</v>
      </c>
      <c r="R389" t="s">
        <v>28</v>
      </c>
      <c r="S389">
        <v>5</v>
      </c>
    </row>
    <row r="390" spans="1:19">
      <c r="A390" t="s">
        <v>714</v>
      </c>
      <c r="B390" s="2">
        <v>46205</v>
      </c>
      <c r="C390" t="s">
        <v>283</v>
      </c>
      <c r="D390" t="s">
        <v>284</v>
      </c>
      <c r="E390" t="s">
        <v>32</v>
      </c>
      <c r="F390">
        <v>39</v>
      </c>
      <c r="G390" t="s">
        <v>55</v>
      </c>
      <c r="H390" t="s">
        <v>34</v>
      </c>
      <c r="I390" t="s">
        <v>43</v>
      </c>
      <c r="J390" t="s">
        <v>49</v>
      </c>
      <c r="K390">
        <v>3</v>
      </c>
      <c r="L390">
        <v>799</v>
      </c>
      <c r="M390" s="3">
        <v>0.05</v>
      </c>
      <c r="N390">
        <v>2277.15</v>
      </c>
      <c r="O390">
        <v>1350</v>
      </c>
      <c r="P390">
        <v>927.15</v>
      </c>
      <c r="Q390" t="s">
        <v>66</v>
      </c>
      <c r="R390" t="s">
        <v>77</v>
      </c>
      <c r="S390">
        <v>3</v>
      </c>
    </row>
    <row r="391" spans="1:19">
      <c r="A391" t="s">
        <v>715</v>
      </c>
      <c r="B391" s="2">
        <v>45843</v>
      </c>
      <c r="C391" t="s">
        <v>326</v>
      </c>
      <c r="D391" t="s">
        <v>327</v>
      </c>
      <c r="E391" t="s">
        <v>22</v>
      </c>
      <c r="F391">
        <v>33</v>
      </c>
      <c r="G391" t="s">
        <v>141</v>
      </c>
      <c r="H391" t="s">
        <v>142</v>
      </c>
      <c r="I391" t="s">
        <v>43</v>
      </c>
      <c r="J391" t="s">
        <v>44</v>
      </c>
      <c r="K391">
        <v>2</v>
      </c>
      <c r="L391">
        <v>1599</v>
      </c>
      <c r="M391" s="3">
        <v>0.2</v>
      </c>
      <c r="N391">
        <v>2558.4</v>
      </c>
      <c r="O391">
        <v>1900</v>
      </c>
      <c r="P391">
        <v>658.4</v>
      </c>
      <c r="Q391" t="s">
        <v>37</v>
      </c>
      <c r="R391" t="s">
        <v>28</v>
      </c>
      <c r="S391">
        <v>2</v>
      </c>
    </row>
    <row r="392" spans="1:19">
      <c r="A392" t="s">
        <v>716</v>
      </c>
      <c r="B392" s="2">
        <v>45749</v>
      </c>
      <c r="C392" t="s">
        <v>641</v>
      </c>
      <c r="D392" t="s">
        <v>72</v>
      </c>
      <c r="E392" t="s">
        <v>32</v>
      </c>
      <c r="F392">
        <v>51</v>
      </c>
      <c r="G392" t="s">
        <v>115</v>
      </c>
      <c r="H392" t="s">
        <v>116</v>
      </c>
      <c r="I392" t="s">
        <v>117</v>
      </c>
      <c r="J392" t="s">
        <v>152</v>
      </c>
      <c r="K392">
        <v>2</v>
      </c>
      <c r="L392">
        <v>899</v>
      </c>
      <c r="M392" s="3">
        <v>0.1</v>
      </c>
      <c r="N392">
        <v>1618.2</v>
      </c>
      <c r="O392">
        <v>1000</v>
      </c>
      <c r="P392">
        <v>618.20000000000005</v>
      </c>
      <c r="Q392" t="s">
        <v>27</v>
      </c>
      <c r="R392" t="s">
        <v>28</v>
      </c>
      <c r="S392">
        <v>3</v>
      </c>
    </row>
    <row r="393" spans="1:19">
      <c r="A393" t="s">
        <v>717</v>
      </c>
      <c r="B393" s="2">
        <v>46257</v>
      </c>
      <c r="C393" t="s">
        <v>475</v>
      </c>
      <c r="D393" t="s">
        <v>476</v>
      </c>
      <c r="E393" t="s">
        <v>32</v>
      </c>
      <c r="F393">
        <v>51</v>
      </c>
      <c r="G393" t="s">
        <v>141</v>
      </c>
      <c r="H393" t="s">
        <v>142</v>
      </c>
      <c r="I393" t="s">
        <v>163</v>
      </c>
      <c r="J393" t="s">
        <v>164</v>
      </c>
      <c r="K393">
        <v>3</v>
      </c>
      <c r="L393">
        <v>3499</v>
      </c>
      <c r="M393" s="3">
        <v>0.1</v>
      </c>
      <c r="N393">
        <v>9447.2999999999993</v>
      </c>
      <c r="O393">
        <v>6600</v>
      </c>
      <c r="P393">
        <v>2847.3</v>
      </c>
      <c r="Q393" t="s">
        <v>37</v>
      </c>
      <c r="R393" t="s">
        <v>28</v>
      </c>
      <c r="S393">
        <v>1</v>
      </c>
    </row>
    <row r="394" spans="1:19">
      <c r="A394" t="s">
        <v>718</v>
      </c>
      <c r="B394" s="2">
        <v>45857</v>
      </c>
      <c r="C394" t="s">
        <v>224</v>
      </c>
      <c r="D394" t="s">
        <v>225</v>
      </c>
      <c r="E394" t="s">
        <v>32</v>
      </c>
      <c r="F394">
        <v>19</v>
      </c>
      <c r="G394" t="s">
        <v>33</v>
      </c>
      <c r="H394" t="s">
        <v>34</v>
      </c>
      <c r="I394" t="s">
        <v>25</v>
      </c>
      <c r="J394" t="s">
        <v>68</v>
      </c>
      <c r="K394">
        <v>1</v>
      </c>
      <c r="L394">
        <v>2999</v>
      </c>
      <c r="M394" s="3">
        <v>0.15</v>
      </c>
      <c r="N394">
        <v>2549.15</v>
      </c>
      <c r="O394">
        <v>1900</v>
      </c>
      <c r="P394">
        <v>649.15</v>
      </c>
      <c r="Q394" t="s">
        <v>50</v>
      </c>
      <c r="R394" t="s">
        <v>28</v>
      </c>
      <c r="S394">
        <v>4</v>
      </c>
    </row>
    <row r="395" spans="1:19">
      <c r="A395" t="s">
        <v>719</v>
      </c>
      <c r="B395" s="2">
        <v>45812</v>
      </c>
      <c r="C395" t="s">
        <v>720</v>
      </c>
      <c r="D395" t="s">
        <v>200</v>
      </c>
      <c r="E395" t="s">
        <v>22</v>
      </c>
      <c r="F395">
        <v>22</v>
      </c>
      <c r="G395" t="s">
        <v>33</v>
      </c>
      <c r="H395" t="s">
        <v>34</v>
      </c>
      <c r="I395" t="s">
        <v>43</v>
      </c>
      <c r="J395" t="s">
        <v>44</v>
      </c>
      <c r="K395">
        <v>4</v>
      </c>
      <c r="L395">
        <v>1599</v>
      </c>
      <c r="M395" s="3">
        <v>0</v>
      </c>
      <c r="N395">
        <v>6396</v>
      </c>
      <c r="O395">
        <v>3800</v>
      </c>
      <c r="P395">
        <v>2596</v>
      </c>
      <c r="Q395" t="s">
        <v>27</v>
      </c>
      <c r="R395" t="s">
        <v>51</v>
      </c>
      <c r="S395">
        <v>3</v>
      </c>
    </row>
    <row r="396" spans="1:19">
      <c r="A396" t="s">
        <v>721</v>
      </c>
      <c r="B396" s="2">
        <v>45981</v>
      </c>
      <c r="C396" t="s">
        <v>568</v>
      </c>
      <c r="D396" t="s">
        <v>569</v>
      </c>
      <c r="E396" t="s">
        <v>22</v>
      </c>
      <c r="F396">
        <v>18</v>
      </c>
      <c r="G396" t="s">
        <v>48</v>
      </c>
      <c r="H396" t="s">
        <v>42</v>
      </c>
      <c r="I396" t="s">
        <v>75</v>
      </c>
      <c r="J396" t="s">
        <v>86</v>
      </c>
      <c r="K396">
        <v>4</v>
      </c>
      <c r="L396">
        <v>499</v>
      </c>
      <c r="M396" s="3">
        <v>0.05</v>
      </c>
      <c r="N396">
        <v>1896.2</v>
      </c>
      <c r="O396">
        <v>1200</v>
      </c>
      <c r="P396">
        <v>696.2</v>
      </c>
      <c r="Q396" t="s">
        <v>27</v>
      </c>
      <c r="R396" t="s">
        <v>28</v>
      </c>
      <c r="S396">
        <v>4</v>
      </c>
    </row>
    <row r="397" spans="1:19">
      <c r="A397" t="s">
        <v>722</v>
      </c>
      <c r="B397" s="2">
        <v>45717</v>
      </c>
      <c r="C397" t="s">
        <v>723</v>
      </c>
      <c r="D397" t="s">
        <v>724</v>
      </c>
      <c r="E397" t="s">
        <v>32</v>
      </c>
      <c r="F397">
        <v>52</v>
      </c>
      <c r="G397" t="s">
        <v>55</v>
      </c>
      <c r="H397" t="s">
        <v>34</v>
      </c>
      <c r="I397" t="s">
        <v>75</v>
      </c>
      <c r="J397" t="s">
        <v>76</v>
      </c>
      <c r="K397">
        <v>2</v>
      </c>
      <c r="L397">
        <v>399</v>
      </c>
      <c r="M397" s="3">
        <v>0.1</v>
      </c>
      <c r="N397">
        <v>718.2</v>
      </c>
      <c r="O397">
        <v>440</v>
      </c>
      <c r="P397">
        <v>278.2</v>
      </c>
      <c r="Q397" t="s">
        <v>69</v>
      </c>
      <c r="R397" t="s">
        <v>28</v>
      </c>
      <c r="S397">
        <v>2</v>
      </c>
    </row>
    <row r="398" spans="1:19">
      <c r="A398" t="s">
        <v>725</v>
      </c>
      <c r="B398" s="2">
        <v>45748</v>
      </c>
      <c r="C398" t="s">
        <v>407</v>
      </c>
      <c r="D398" t="s">
        <v>408</v>
      </c>
      <c r="E398" t="s">
        <v>32</v>
      </c>
      <c r="F398">
        <v>44</v>
      </c>
      <c r="G398" t="s">
        <v>48</v>
      </c>
      <c r="H398" t="s">
        <v>42</v>
      </c>
      <c r="I398" t="s">
        <v>75</v>
      </c>
      <c r="J398" t="s">
        <v>86</v>
      </c>
      <c r="K398">
        <v>2</v>
      </c>
      <c r="L398">
        <v>499</v>
      </c>
      <c r="M398" s="3">
        <v>0.15</v>
      </c>
      <c r="N398">
        <v>848.3</v>
      </c>
      <c r="O398">
        <v>600</v>
      </c>
      <c r="P398">
        <v>248.3</v>
      </c>
      <c r="Q398" t="s">
        <v>27</v>
      </c>
      <c r="R398" t="s">
        <v>28</v>
      </c>
      <c r="S398">
        <v>4</v>
      </c>
    </row>
    <row r="399" spans="1:19">
      <c r="A399" t="s">
        <v>726</v>
      </c>
      <c r="B399" s="2">
        <v>45662</v>
      </c>
      <c r="C399" t="s">
        <v>128</v>
      </c>
      <c r="D399" t="s">
        <v>129</v>
      </c>
      <c r="E399" t="s">
        <v>22</v>
      </c>
      <c r="F399">
        <v>42</v>
      </c>
      <c r="G399" t="s">
        <v>105</v>
      </c>
      <c r="H399" t="s">
        <v>105</v>
      </c>
      <c r="I399" t="s">
        <v>163</v>
      </c>
      <c r="J399" t="s">
        <v>234</v>
      </c>
      <c r="K399">
        <v>4</v>
      </c>
      <c r="L399">
        <v>999</v>
      </c>
      <c r="M399" s="3">
        <v>0.15</v>
      </c>
      <c r="N399">
        <v>3396.6</v>
      </c>
      <c r="O399">
        <v>2400</v>
      </c>
      <c r="P399">
        <v>996.6</v>
      </c>
      <c r="Q399" t="s">
        <v>69</v>
      </c>
      <c r="R399" t="s">
        <v>28</v>
      </c>
      <c r="S399">
        <v>3</v>
      </c>
    </row>
    <row r="400" spans="1:19">
      <c r="A400" t="s">
        <v>727</v>
      </c>
      <c r="B400" s="2">
        <v>45662</v>
      </c>
      <c r="C400" t="s">
        <v>172</v>
      </c>
      <c r="D400" t="s">
        <v>173</v>
      </c>
      <c r="E400" t="s">
        <v>22</v>
      </c>
      <c r="F400">
        <v>50</v>
      </c>
      <c r="G400" t="s">
        <v>48</v>
      </c>
      <c r="H400" t="s">
        <v>42</v>
      </c>
      <c r="I400" t="s">
        <v>163</v>
      </c>
      <c r="J400" t="s">
        <v>164</v>
      </c>
      <c r="K400">
        <v>2</v>
      </c>
      <c r="L400">
        <v>3499</v>
      </c>
      <c r="M400" s="3">
        <v>0</v>
      </c>
      <c r="N400">
        <v>6998</v>
      </c>
      <c r="O400">
        <v>4400</v>
      </c>
      <c r="P400">
        <v>2598</v>
      </c>
      <c r="Q400" t="s">
        <v>27</v>
      </c>
      <c r="R400" t="s">
        <v>28</v>
      </c>
      <c r="S400">
        <v>3</v>
      </c>
    </row>
    <row r="401" spans="1:19">
      <c r="A401" t="s">
        <v>728</v>
      </c>
      <c r="B401" s="2">
        <v>46173</v>
      </c>
      <c r="C401" t="s">
        <v>139</v>
      </c>
      <c r="D401" t="s">
        <v>140</v>
      </c>
      <c r="E401" t="s">
        <v>22</v>
      </c>
      <c r="F401">
        <v>44</v>
      </c>
      <c r="G401" t="s">
        <v>141</v>
      </c>
      <c r="H401" t="s">
        <v>142</v>
      </c>
      <c r="I401" t="s">
        <v>25</v>
      </c>
      <c r="J401" t="s">
        <v>62</v>
      </c>
      <c r="K401">
        <v>1</v>
      </c>
      <c r="L401">
        <v>1299</v>
      </c>
      <c r="M401" s="3">
        <v>0.15</v>
      </c>
      <c r="N401">
        <v>1104.1500000000001</v>
      </c>
      <c r="O401">
        <v>800</v>
      </c>
      <c r="P401">
        <v>304.14999999999998</v>
      </c>
      <c r="Q401" t="s">
        <v>50</v>
      </c>
      <c r="R401" t="s">
        <v>28</v>
      </c>
      <c r="S401">
        <v>1</v>
      </c>
    </row>
    <row r="402" spans="1:19">
      <c r="A402" t="s">
        <v>729</v>
      </c>
      <c r="B402" s="2">
        <v>46190</v>
      </c>
      <c r="C402" t="s">
        <v>166</v>
      </c>
      <c r="D402" t="s">
        <v>167</v>
      </c>
      <c r="E402" t="s">
        <v>22</v>
      </c>
      <c r="F402">
        <v>36</v>
      </c>
      <c r="G402" t="s">
        <v>146</v>
      </c>
      <c r="H402" t="s">
        <v>61</v>
      </c>
      <c r="I402" t="s">
        <v>43</v>
      </c>
      <c r="J402" t="s">
        <v>44</v>
      </c>
      <c r="K402">
        <v>3</v>
      </c>
      <c r="L402">
        <v>1599</v>
      </c>
      <c r="M402" s="3">
        <v>0.15</v>
      </c>
      <c r="N402">
        <v>4077.45</v>
      </c>
      <c r="O402">
        <v>2850</v>
      </c>
      <c r="P402">
        <v>1227.45</v>
      </c>
      <c r="Q402" t="s">
        <v>50</v>
      </c>
      <c r="R402" t="s">
        <v>28</v>
      </c>
      <c r="S402">
        <v>4</v>
      </c>
    </row>
    <row r="403" spans="1:19">
      <c r="A403" t="s">
        <v>730</v>
      </c>
      <c r="B403" s="2">
        <v>45850</v>
      </c>
      <c r="C403" t="s">
        <v>422</v>
      </c>
      <c r="D403" t="s">
        <v>423</v>
      </c>
      <c r="E403" t="s">
        <v>22</v>
      </c>
      <c r="F403">
        <v>26</v>
      </c>
      <c r="G403" t="s">
        <v>141</v>
      </c>
      <c r="H403" t="s">
        <v>142</v>
      </c>
      <c r="I403" t="s">
        <v>163</v>
      </c>
      <c r="J403" t="s">
        <v>164</v>
      </c>
      <c r="K403">
        <v>4</v>
      </c>
      <c r="L403">
        <v>3499</v>
      </c>
      <c r="M403" s="3">
        <v>0.1</v>
      </c>
      <c r="N403">
        <v>12596.4</v>
      </c>
      <c r="O403">
        <v>8800</v>
      </c>
      <c r="P403">
        <v>3796.4</v>
      </c>
      <c r="Q403" t="s">
        <v>27</v>
      </c>
      <c r="R403" t="s">
        <v>77</v>
      </c>
      <c r="S403">
        <v>4</v>
      </c>
    </row>
    <row r="404" spans="1:19">
      <c r="A404" t="s">
        <v>731</v>
      </c>
      <c r="B404" s="2">
        <v>45874</v>
      </c>
      <c r="C404" t="s">
        <v>20</v>
      </c>
      <c r="D404" t="s">
        <v>21</v>
      </c>
      <c r="E404" t="s">
        <v>22</v>
      </c>
      <c r="F404">
        <v>52</v>
      </c>
      <c r="G404" t="s">
        <v>23</v>
      </c>
      <c r="H404" t="s">
        <v>24</v>
      </c>
      <c r="I404" t="s">
        <v>43</v>
      </c>
      <c r="J404" t="s">
        <v>281</v>
      </c>
      <c r="K404">
        <v>2</v>
      </c>
      <c r="L404">
        <v>2999</v>
      </c>
      <c r="M404" s="3">
        <v>0.05</v>
      </c>
      <c r="N404">
        <v>5698.1</v>
      </c>
      <c r="O404">
        <v>3600</v>
      </c>
      <c r="P404">
        <v>2098.1</v>
      </c>
      <c r="Q404" t="s">
        <v>69</v>
      </c>
      <c r="R404" t="s">
        <v>28</v>
      </c>
      <c r="S404">
        <v>2</v>
      </c>
    </row>
    <row r="405" spans="1:19">
      <c r="A405" t="s">
        <v>732</v>
      </c>
      <c r="B405" s="2">
        <v>45919</v>
      </c>
      <c r="C405" t="s">
        <v>243</v>
      </c>
      <c r="D405" t="s">
        <v>244</v>
      </c>
      <c r="E405" t="s">
        <v>22</v>
      </c>
      <c r="F405">
        <v>38</v>
      </c>
      <c r="G405" t="s">
        <v>23</v>
      </c>
      <c r="H405" t="s">
        <v>24</v>
      </c>
      <c r="I405" t="s">
        <v>163</v>
      </c>
      <c r="J405" t="s">
        <v>214</v>
      </c>
      <c r="K405">
        <v>1</v>
      </c>
      <c r="L405">
        <v>1499</v>
      </c>
      <c r="M405" s="3">
        <v>0.15</v>
      </c>
      <c r="N405">
        <v>1274.1500000000001</v>
      </c>
      <c r="O405">
        <v>900</v>
      </c>
      <c r="P405">
        <v>374.15</v>
      </c>
      <c r="Q405" t="s">
        <v>50</v>
      </c>
      <c r="R405" t="s">
        <v>28</v>
      </c>
      <c r="S405">
        <v>5</v>
      </c>
    </row>
    <row r="406" spans="1:19">
      <c r="A406" t="s">
        <v>733</v>
      </c>
      <c r="B406" s="2">
        <v>45707</v>
      </c>
      <c r="C406" t="s">
        <v>506</v>
      </c>
      <c r="D406" t="s">
        <v>414</v>
      </c>
      <c r="E406" t="s">
        <v>22</v>
      </c>
      <c r="F406">
        <v>42</v>
      </c>
      <c r="G406" t="s">
        <v>180</v>
      </c>
      <c r="H406" t="s">
        <v>181</v>
      </c>
      <c r="I406" t="s">
        <v>117</v>
      </c>
      <c r="J406" t="s">
        <v>118</v>
      </c>
      <c r="K406">
        <v>1</v>
      </c>
      <c r="L406">
        <v>999</v>
      </c>
      <c r="M406" s="3">
        <v>0</v>
      </c>
      <c r="N406">
        <v>999</v>
      </c>
      <c r="O406">
        <v>550</v>
      </c>
      <c r="P406">
        <v>449</v>
      </c>
      <c r="Q406" t="s">
        <v>69</v>
      </c>
      <c r="R406" t="s">
        <v>28</v>
      </c>
      <c r="S406">
        <v>4</v>
      </c>
    </row>
    <row r="407" spans="1:19">
      <c r="A407" t="s">
        <v>734</v>
      </c>
      <c r="B407" s="2">
        <v>45814</v>
      </c>
      <c r="C407" t="s">
        <v>243</v>
      </c>
      <c r="D407" t="s">
        <v>244</v>
      </c>
      <c r="E407" t="s">
        <v>22</v>
      </c>
      <c r="F407">
        <v>38</v>
      </c>
      <c r="G407" t="s">
        <v>23</v>
      </c>
      <c r="H407" t="s">
        <v>24</v>
      </c>
      <c r="I407" t="s">
        <v>35</v>
      </c>
      <c r="J407" t="s">
        <v>126</v>
      </c>
      <c r="K407">
        <v>3</v>
      </c>
      <c r="L407">
        <v>1499</v>
      </c>
      <c r="M407" s="3">
        <v>0.15</v>
      </c>
      <c r="N407">
        <v>3822.45</v>
      </c>
      <c r="O407">
        <v>2550</v>
      </c>
      <c r="P407">
        <v>1272.45</v>
      </c>
      <c r="Q407" t="s">
        <v>27</v>
      </c>
      <c r="R407" t="s">
        <v>28</v>
      </c>
      <c r="S407">
        <v>1</v>
      </c>
    </row>
    <row r="408" spans="1:19">
      <c r="A408" t="s">
        <v>735</v>
      </c>
      <c r="B408" s="2">
        <v>45934</v>
      </c>
      <c r="C408" t="s">
        <v>227</v>
      </c>
      <c r="D408" t="s">
        <v>228</v>
      </c>
      <c r="E408" t="s">
        <v>22</v>
      </c>
      <c r="F408">
        <v>24</v>
      </c>
      <c r="G408" t="s">
        <v>93</v>
      </c>
      <c r="H408" t="s">
        <v>94</v>
      </c>
      <c r="I408" t="s">
        <v>163</v>
      </c>
      <c r="J408" t="s">
        <v>234</v>
      </c>
      <c r="K408">
        <v>1</v>
      </c>
      <c r="L408">
        <v>999</v>
      </c>
      <c r="M408" s="3">
        <v>0.2</v>
      </c>
      <c r="N408">
        <v>799.2</v>
      </c>
      <c r="O408">
        <v>600</v>
      </c>
      <c r="P408">
        <v>199.2</v>
      </c>
      <c r="Q408" t="s">
        <v>50</v>
      </c>
      <c r="R408" t="s">
        <v>28</v>
      </c>
      <c r="S408">
        <v>2</v>
      </c>
    </row>
    <row r="409" spans="1:19">
      <c r="A409" t="s">
        <v>736</v>
      </c>
      <c r="B409" s="2">
        <v>45774</v>
      </c>
      <c r="C409" t="s">
        <v>475</v>
      </c>
      <c r="D409" t="s">
        <v>476</v>
      </c>
      <c r="E409" t="s">
        <v>32</v>
      </c>
      <c r="F409">
        <v>51</v>
      </c>
      <c r="G409" t="s">
        <v>141</v>
      </c>
      <c r="H409" t="s">
        <v>142</v>
      </c>
      <c r="I409" t="s">
        <v>25</v>
      </c>
      <c r="J409" t="s">
        <v>56</v>
      </c>
      <c r="K409">
        <v>1</v>
      </c>
      <c r="L409">
        <v>899</v>
      </c>
      <c r="M409" s="3">
        <v>0.1</v>
      </c>
      <c r="N409">
        <v>809.1</v>
      </c>
      <c r="O409">
        <v>550</v>
      </c>
      <c r="P409">
        <v>259.10000000000002</v>
      </c>
      <c r="Q409" t="s">
        <v>69</v>
      </c>
      <c r="R409" t="s">
        <v>28</v>
      </c>
      <c r="S409">
        <v>5</v>
      </c>
    </row>
    <row r="410" spans="1:19">
      <c r="A410" t="s">
        <v>737</v>
      </c>
      <c r="B410" s="2">
        <v>46077</v>
      </c>
      <c r="C410" t="s">
        <v>216</v>
      </c>
      <c r="D410" t="s">
        <v>217</v>
      </c>
      <c r="E410" t="s">
        <v>22</v>
      </c>
      <c r="F410">
        <v>43</v>
      </c>
      <c r="G410" t="s">
        <v>115</v>
      </c>
      <c r="H410" t="s">
        <v>116</v>
      </c>
      <c r="I410" t="s">
        <v>43</v>
      </c>
      <c r="J410" t="s">
        <v>197</v>
      </c>
      <c r="K410">
        <v>2</v>
      </c>
      <c r="L410">
        <v>1799</v>
      </c>
      <c r="M410" s="3">
        <v>0.1</v>
      </c>
      <c r="N410">
        <v>3238.2</v>
      </c>
      <c r="O410">
        <v>2100</v>
      </c>
      <c r="P410">
        <v>1138.2</v>
      </c>
      <c r="Q410" t="s">
        <v>37</v>
      </c>
      <c r="R410" t="s">
        <v>28</v>
      </c>
      <c r="S410">
        <v>5</v>
      </c>
    </row>
    <row r="411" spans="1:19">
      <c r="A411" t="s">
        <v>738</v>
      </c>
      <c r="B411" s="2">
        <v>45898</v>
      </c>
      <c r="C411" t="s">
        <v>207</v>
      </c>
      <c r="D411" t="s">
        <v>72</v>
      </c>
      <c r="E411" t="s">
        <v>22</v>
      </c>
      <c r="F411">
        <v>48</v>
      </c>
      <c r="G411" t="s">
        <v>180</v>
      </c>
      <c r="H411" t="s">
        <v>181</v>
      </c>
      <c r="I411" t="s">
        <v>43</v>
      </c>
      <c r="J411" t="s">
        <v>49</v>
      </c>
      <c r="K411">
        <v>4</v>
      </c>
      <c r="L411">
        <v>799</v>
      </c>
      <c r="M411" s="3">
        <v>0.1</v>
      </c>
      <c r="N411">
        <v>2876.4</v>
      </c>
      <c r="O411">
        <v>1800</v>
      </c>
      <c r="P411">
        <v>1076.4000000000001</v>
      </c>
      <c r="Q411" t="s">
        <v>69</v>
      </c>
      <c r="R411" t="s">
        <v>28</v>
      </c>
      <c r="S411">
        <v>1</v>
      </c>
    </row>
    <row r="412" spans="1:19">
      <c r="A412" t="s">
        <v>739</v>
      </c>
      <c r="B412" s="2">
        <v>45750</v>
      </c>
      <c r="C412" t="s">
        <v>250</v>
      </c>
      <c r="D412" t="s">
        <v>241</v>
      </c>
      <c r="E412" t="s">
        <v>32</v>
      </c>
      <c r="F412">
        <v>18</v>
      </c>
      <c r="G412" t="s">
        <v>251</v>
      </c>
      <c r="H412" t="s">
        <v>251</v>
      </c>
      <c r="I412" t="s">
        <v>75</v>
      </c>
      <c r="J412" t="s">
        <v>86</v>
      </c>
      <c r="K412">
        <v>4</v>
      </c>
      <c r="L412">
        <v>499</v>
      </c>
      <c r="M412" s="3">
        <v>0.05</v>
      </c>
      <c r="N412">
        <v>1896.2</v>
      </c>
      <c r="O412">
        <v>1200</v>
      </c>
      <c r="P412">
        <v>696.2</v>
      </c>
      <c r="Q412" t="s">
        <v>50</v>
      </c>
      <c r="R412" t="s">
        <v>28</v>
      </c>
      <c r="S412">
        <v>1</v>
      </c>
    </row>
    <row r="413" spans="1:19">
      <c r="A413" t="s">
        <v>740</v>
      </c>
      <c r="B413" s="2">
        <v>45961</v>
      </c>
      <c r="C413" t="s">
        <v>273</v>
      </c>
      <c r="D413" t="s">
        <v>274</v>
      </c>
      <c r="E413" t="s">
        <v>22</v>
      </c>
      <c r="F413">
        <v>41</v>
      </c>
      <c r="G413" t="s">
        <v>105</v>
      </c>
      <c r="H413" t="s">
        <v>105</v>
      </c>
      <c r="I413" t="s">
        <v>75</v>
      </c>
      <c r="J413" t="s">
        <v>76</v>
      </c>
      <c r="K413">
        <v>2</v>
      </c>
      <c r="L413">
        <v>399</v>
      </c>
      <c r="M413" s="3">
        <v>0.15</v>
      </c>
      <c r="N413">
        <v>678.3</v>
      </c>
      <c r="O413">
        <v>440</v>
      </c>
      <c r="P413">
        <v>238.3</v>
      </c>
      <c r="Q413" t="s">
        <v>37</v>
      </c>
      <c r="R413" t="s">
        <v>28</v>
      </c>
      <c r="S413">
        <v>1</v>
      </c>
    </row>
    <row r="414" spans="1:19">
      <c r="A414" t="s">
        <v>741</v>
      </c>
      <c r="B414" s="2">
        <v>45978</v>
      </c>
      <c r="C414" t="s">
        <v>458</v>
      </c>
      <c r="D414" t="s">
        <v>459</v>
      </c>
      <c r="E414" t="s">
        <v>32</v>
      </c>
      <c r="F414">
        <v>40</v>
      </c>
      <c r="G414" t="s">
        <v>60</v>
      </c>
      <c r="H414" t="s">
        <v>61</v>
      </c>
      <c r="I414" t="s">
        <v>25</v>
      </c>
      <c r="J414" t="s">
        <v>68</v>
      </c>
      <c r="K414">
        <v>3</v>
      </c>
      <c r="L414">
        <v>2999</v>
      </c>
      <c r="M414" s="3">
        <v>0.1</v>
      </c>
      <c r="N414">
        <v>8097.3</v>
      </c>
      <c r="O414">
        <v>5700</v>
      </c>
      <c r="P414">
        <v>2397.3000000000002</v>
      </c>
      <c r="Q414" t="s">
        <v>66</v>
      </c>
      <c r="R414" t="s">
        <v>28</v>
      </c>
      <c r="S414">
        <v>1</v>
      </c>
    </row>
    <row r="415" spans="1:19">
      <c r="A415" t="s">
        <v>742</v>
      </c>
      <c r="B415" s="2">
        <v>45994</v>
      </c>
      <c r="C415" t="s">
        <v>166</v>
      </c>
      <c r="D415" t="s">
        <v>167</v>
      </c>
      <c r="E415" t="s">
        <v>22</v>
      </c>
      <c r="F415">
        <v>36</v>
      </c>
      <c r="G415" t="s">
        <v>146</v>
      </c>
      <c r="H415" t="s">
        <v>61</v>
      </c>
      <c r="I415" t="s">
        <v>25</v>
      </c>
      <c r="J415" t="s">
        <v>156</v>
      </c>
      <c r="K415">
        <v>2</v>
      </c>
      <c r="L415">
        <v>1999</v>
      </c>
      <c r="M415" s="3">
        <v>0.05</v>
      </c>
      <c r="N415">
        <v>3798.1</v>
      </c>
      <c r="O415">
        <v>2600</v>
      </c>
      <c r="P415">
        <v>1198.0999999999999</v>
      </c>
      <c r="Q415" t="s">
        <v>37</v>
      </c>
      <c r="R415" t="s">
        <v>77</v>
      </c>
      <c r="S415">
        <v>3</v>
      </c>
    </row>
    <row r="416" spans="1:19">
      <c r="A416" t="s">
        <v>743</v>
      </c>
      <c r="B416" s="2">
        <v>45774</v>
      </c>
      <c r="C416" t="s">
        <v>637</v>
      </c>
      <c r="D416" t="s">
        <v>638</v>
      </c>
      <c r="E416" t="s">
        <v>22</v>
      </c>
      <c r="F416">
        <v>25</v>
      </c>
      <c r="G416" t="s">
        <v>141</v>
      </c>
      <c r="H416" t="s">
        <v>142</v>
      </c>
      <c r="I416" t="s">
        <v>163</v>
      </c>
      <c r="J416" t="s">
        <v>214</v>
      </c>
      <c r="K416">
        <v>3</v>
      </c>
      <c r="L416">
        <v>1499</v>
      </c>
      <c r="M416" s="3">
        <v>0.05</v>
      </c>
      <c r="N416">
        <v>4272.1499999999996</v>
      </c>
      <c r="O416">
        <v>2700</v>
      </c>
      <c r="P416">
        <v>1572.15</v>
      </c>
      <c r="Q416" t="s">
        <v>66</v>
      </c>
      <c r="R416" t="s">
        <v>28</v>
      </c>
      <c r="S416">
        <v>4</v>
      </c>
    </row>
    <row r="417" spans="1:19">
      <c r="A417" t="s">
        <v>744</v>
      </c>
      <c r="B417" s="2">
        <v>45828</v>
      </c>
      <c r="C417" t="s">
        <v>39</v>
      </c>
      <c r="D417" t="s">
        <v>40</v>
      </c>
      <c r="E417" t="s">
        <v>22</v>
      </c>
      <c r="F417">
        <v>39</v>
      </c>
      <c r="G417" t="s">
        <v>41</v>
      </c>
      <c r="H417" t="s">
        <v>42</v>
      </c>
      <c r="I417" t="s">
        <v>163</v>
      </c>
      <c r="J417" t="s">
        <v>290</v>
      </c>
      <c r="K417">
        <v>4</v>
      </c>
      <c r="L417">
        <v>1999</v>
      </c>
      <c r="M417" s="3">
        <v>0.15</v>
      </c>
      <c r="N417">
        <v>6796.6</v>
      </c>
      <c r="O417">
        <v>4800</v>
      </c>
      <c r="P417">
        <v>1996.6</v>
      </c>
      <c r="Q417" t="s">
        <v>69</v>
      </c>
      <c r="R417" t="s">
        <v>28</v>
      </c>
      <c r="S417">
        <v>1</v>
      </c>
    </row>
    <row r="418" spans="1:19">
      <c r="A418" t="s">
        <v>745</v>
      </c>
      <c r="B418" s="2">
        <v>46152</v>
      </c>
      <c r="C418" t="s">
        <v>746</v>
      </c>
      <c r="D418" t="s">
        <v>747</v>
      </c>
      <c r="E418" t="s">
        <v>22</v>
      </c>
      <c r="F418">
        <v>20</v>
      </c>
      <c r="G418" t="s">
        <v>48</v>
      </c>
      <c r="H418" t="s">
        <v>42</v>
      </c>
      <c r="I418" t="s">
        <v>25</v>
      </c>
      <c r="J418" t="s">
        <v>56</v>
      </c>
      <c r="K418">
        <v>4</v>
      </c>
      <c r="L418">
        <v>899</v>
      </c>
      <c r="M418" s="3">
        <v>0.2</v>
      </c>
      <c r="N418">
        <v>2876.8</v>
      </c>
      <c r="O418">
        <v>2200</v>
      </c>
      <c r="P418">
        <v>676.8</v>
      </c>
      <c r="Q418" t="s">
        <v>50</v>
      </c>
      <c r="R418" t="s">
        <v>28</v>
      </c>
      <c r="S418">
        <v>2</v>
      </c>
    </row>
    <row r="419" spans="1:19">
      <c r="A419" t="s">
        <v>748</v>
      </c>
      <c r="B419" s="2">
        <v>46152</v>
      </c>
      <c r="C419" t="s">
        <v>192</v>
      </c>
      <c r="D419" t="s">
        <v>193</v>
      </c>
      <c r="E419" t="s">
        <v>32</v>
      </c>
      <c r="F419">
        <v>47</v>
      </c>
      <c r="G419" t="s">
        <v>93</v>
      </c>
      <c r="H419" t="s">
        <v>94</v>
      </c>
      <c r="I419" t="s">
        <v>163</v>
      </c>
      <c r="J419" t="s">
        <v>214</v>
      </c>
      <c r="K419">
        <v>1</v>
      </c>
      <c r="L419">
        <v>1499</v>
      </c>
      <c r="M419" s="3">
        <v>0.05</v>
      </c>
      <c r="N419">
        <v>1424.05</v>
      </c>
      <c r="O419">
        <v>900</v>
      </c>
      <c r="P419">
        <v>524.04999999999995</v>
      </c>
      <c r="Q419" t="s">
        <v>66</v>
      </c>
      <c r="R419" t="s">
        <v>28</v>
      </c>
      <c r="S419">
        <v>4</v>
      </c>
    </row>
    <row r="420" spans="1:19">
      <c r="A420" t="s">
        <v>749</v>
      </c>
      <c r="B420" s="2">
        <v>45979</v>
      </c>
      <c r="C420" t="s">
        <v>345</v>
      </c>
      <c r="D420" t="s">
        <v>346</v>
      </c>
      <c r="E420" t="s">
        <v>32</v>
      </c>
      <c r="F420">
        <v>33</v>
      </c>
      <c r="G420" t="s">
        <v>73</v>
      </c>
      <c r="H420" t="s">
        <v>74</v>
      </c>
      <c r="I420" t="s">
        <v>25</v>
      </c>
      <c r="J420" t="s">
        <v>68</v>
      </c>
      <c r="K420">
        <v>1</v>
      </c>
      <c r="L420">
        <v>2999</v>
      </c>
      <c r="M420" s="3">
        <v>0.1</v>
      </c>
      <c r="N420">
        <v>2699.1</v>
      </c>
      <c r="O420">
        <v>1900</v>
      </c>
      <c r="P420">
        <v>799.1</v>
      </c>
      <c r="Q420" t="s">
        <v>69</v>
      </c>
      <c r="R420" t="s">
        <v>28</v>
      </c>
      <c r="S420">
        <v>5</v>
      </c>
    </row>
    <row r="421" spans="1:19">
      <c r="A421" t="s">
        <v>750</v>
      </c>
      <c r="B421" s="2">
        <v>46189</v>
      </c>
      <c r="C421" t="s">
        <v>71</v>
      </c>
      <c r="D421" t="s">
        <v>72</v>
      </c>
      <c r="E421" t="s">
        <v>32</v>
      </c>
      <c r="F421">
        <v>53</v>
      </c>
      <c r="G421" t="s">
        <v>73</v>
      </c>
      <c r="H421" t="s">
        <v>74</v>
      </c>
      <c r="I421" t="s">
        <v>117</v>
      </c>
      <c r="J421" t="s">
        <v>152</v>
      </c>
      <c r="K421">
        <v>2</v>
      </c>
      <c r="L421">
        <v>899</v>
      </c>
      <c r="M421" s="3">
        <v>0.1</v>
      </c>
      <c r="N421">
        <v>1618.2</v>
      </c>
      <c r="O421">
        <v>1000</v>
      </c>
      <c r="P421">
        <v>618.20000000000005</v>
      </c>
      <c r="Q421" t="s">
        <v>50</v>
      </c>
      <c r="R421" t="s">
        <v>28</v>
      </c>
      <c r="S421">
        <v>5</v>
      </c>
    </row>
    <row r="422" spans="1:19">
      <c r="A422" t="s">
        <v>751</v>
      </c>
      <c r="B422" s="2">
        <v>46012</v>
      </c>
      <c r="C422" t="s">
        <v>579</v>
      </c>
      <c r="D422" t="s">
        <v>145</v>
      </c>
      <c r="E422" t="s">
        <v>32</v>
      </c>
      <c r="F422">
        <v>22</v>
      </c>
      <c r="G422" t="s">
        <v>141</v>
      </c>
      <c r="H422" t="s">
        <v>142</v>
      </c>
      <c r="I422" t="s">
        <v>163</v>
      </c>
      <c r="J422" t="s">
        <v>234</v>
      </c>
      <c r="K422">
        <v>2</v>
      </c>
      <c r="L422">
        <v>999</v>
      </c>
      <c r="M422" s="3">
        <v>0.15</v>
      </c>
      <c r="N422">
        <v>1698.3</v>
      </c>
      <c r="O422">
        <v>1200</v>
      </c>
      <c r="P422">
        <v>498.3</v>
      </c>
      <c r="Q422" t="s">
        <v>66</v>
      </c>
      <c r="R422" t="s">
        <v>28</v>
      </c>
      <c r="S422">
        <v>5</v>
      </c>
    </row>
    <row r="423" spans="1:19">
      <c r="A423" t="s">
        <v>752</v>
      </c>
      <c r="B423" s="2">
        <v>46138</v>
      </c>
      <c r="C423" t="s">
        <v>332</v>
      </c>
      <c r="D423" t="s">
        <v>333</v>
      </c>
      <c r="E423" t="s">
        <v>32</v>
      </c>
      <c r="F423">
        <v>28</v>
      </c>
      <c r="G423" t="s">
        <v>93</v>
      </c>
      <c r="H423" t="s">
        <v>94</v>
      </c>
      <c r="I423" t="s">
        <v>25</v>
      </c>
      <c r="J423" t="s">
        <v>156</v>
      </c>
      <c r="K423">
        <v>2</v>
      </c>
      <c r="L423">
        <v>1999</v>
      </c>
      <c r="M423" s="3">
        <v>0.2</v>
      </c>
      <c r="N423">
        <v>3198.4</v>
      </c>
      <c r="O423">
        <v>2600</v>
      </c>
      <c r="P423">
        <v>598.4</v>
      </c>
      <c r="Q423" t="s">
        <v>66</v>
      </c>
      <c r="R423" t="s">
        <v>137</v>
      </c>
      <c r="S423">
        <v>1</v>
      </c>
    </row>
    <row r="424" spans="1:19">
      <c r="A424" t="s">
        <v>753</v>
      </c>
      <c r="B424" s="2">
        <v>45942</v>
      </c>
      <c r="C424" t="s">
        <v>64</v>
      </c>
      <c r="D424" t="s">
        <v>65</v>
      </c>
      <c r="E424" t="s">
        <v>32</v>
      </c>
      <c r="F424">
        <v>31</v>
      </c>
      <c r="G424" t="s">
        <v>33</v>
      </c>
      <c r="H424" t="s">
        <v>34</v>
      </c>
      <c r="I424" t="s">
        <v>163</v>
      </c>
      <c r="J424" t="s">
        <v>164</v>
      </c>
      <c r="K424">
        <v>2</v>
      </c>
      <c r="L424">
        <v>3499</v>
      </c>
      <c r="M424" s="3">
        <v>0.1</v>
      </c>
      <c r="N424">
        <v>6298.2</v>
      </c>
      <c r="O424">
        <v>4400</v>
      </c>
      <c r="P424">
        <v>1898.2</v>
      </c>
      <c r="Q424" t="s">
        <v>69</v>
      </c>
      <c r="R424" t="s">
        <v>28</v>
      </c>
      <c r="S424">
        <v>5</v>
      </c>
    </row>
    <row r="425" spans="1:19">
      <c r="A425" t="s">
        <v>754</v>
      </c>
      <c r="B425" s="2">
        <v>46128</v>
      </c>
      <c r="C425" t="s">
        <v>516</v>
      </c>
      <c r="D425" t="s">
        <v>449</v>
      </c>
      <c r="E425" t="s">
        <v>22</v>
      </c>
      <c r="F425">
        <v>45</v>
      </c>
      <c r="G425" t="s">
        <v>41</v>
      </c>
      <c r="H425" t="s">
        <v>42</v>
      </c>
      <c r="I425" t="s">
        <v>163</v>
      </c>
      <c r="J425" t="s">
        <v>290</v>
      </c>
      <c r="K425">
        <v>2</v>
      </c>
      <c r="L425">
        <v>1999</v>
      </c>
      <c r="M425" s="3">
        <v>0</v>
      </c>
      <c r="N425">
        <v>3998</v>
      </c>
      <c r="O425">
        <v>2400</v>
      </c>
      <c r="P425">
        <v>1598</v>
      </c>
      <c r="Q425" t="s">
        <v>66</v>
      </c>
      <c r="R425" t="s">
        <v>137</v>
      </c>
      <c r="S425">
        <v>4</v>
      </c>
    </row>
    <row r="426" spans="1:19">
      <c r="A426" t="s">
        <v>755</v>
      </c>
      <c r="B426" s="2">
        <v>45779</v>
      </c>
      <c r="C426" t="s">
        <v>692</v>
      </c>
      <c r="D426" t="s">
        <v>343</v>
      </c>
      <c r="E426" t="s">
        <v>22</v>
      </c>
      <c r="F426">
        <v>50</v>
      </c>
      <c r="G426" t="s">
        <v>48</v>
      </c>
      <c r="H426" t="s">
        <v>42</v>
      </c>
      <c r="I426" t="s">
        <v>35</v>
      </c>
      <c r="J426" t="s">
        <v>36</v>
      </c>
      <c r="K426">
        <v>4</v>
      </c>
      <c r="L426">
        <v>599</v>
      </c>
      <c r="M426" s="3">
        <v>0.1</v>
      </c>
      <c r="N426">
        <v>2156.4</v>
      </c>
      <c r="O426">
        <v>1280</v>
      </c>
      <c r="P426">
        <v>876.4</v>
      </c>
      <c r="Q426" t="s">
        <v>66</v>
      </c>
      <c r="R426" t="s">
        <v>28</v>
      </c>
      <c r="S426">
        <v>1</v>
      </c>
    </row>
    <row r="427" spans="1:19">
      <c r="A427" t="s">
        <v>756</v>
      </c>
      <c r="B427" s="2">
        <v>46228</v>
      </c>
      <c r="C427" t="s">
        <v>595</v>
      </c>
      <c r="D427" t="s">
        <v>596</v>
      </c>
      <c r="E427" t="s">
        <v>22</v>
      </c>
      <c r="F427">
        <v>25</v>
      </c>
      <c r="G427" t="s">
        <v>180</v>
      </c>
      <c r="H427" t="s">
        <v>181</v>
      </c>
      <c r="I427" t="s">
        <v>163</v>
      </c>
      <c r="J427" t="s">
        <v>290</v>
      </c>
      <c r="K427">
        <v>4</v>
      </c>
      <c r="L427">
        <v>1999</v>
      </c>
      <c r="M427" s="3">
        <v>0</v>
      </c>
      <c r="N427">
        <v>7996</v>
      </c>
      <c r="O427">
        <v>4800</v>
      </c>
      <c r="P427">
        <v>3196</v>
      </c>
      <c r="Q427" t="s">
        <v>50</v>
      </c>
      <c r="R427" t="s">
        <v>28</v>
      </c>
      <c r="S427">
        <v>1</v>
      </c>
    </row>
    <row r="428" spans="1:19">
      <c r="A428" t="s">
        <v>757</v>
      </c>
      <c r="B428" s="2">
        <v>46007</v>
      </c>
      <c r="C428" t="s">
        <v>227</v>
      </c>
      <c r="D428" t="s">
        <v>228</v>
      </c>
      <c r="E428" t="s">
        <v>22</v>
      </c>
      <c r="F428">
        <v>24</v>
      </c>
      <c r="G428" t="s">
        <v>93</v>
      </c>
      <c r="H428" t="s">
        <v>94</v>
      </c>
      <c r="I428" t="s">
        <v>35</v>
      </c>
      <c r="J428" t="s">
        <v>108</v>
      </c>
      <c r="K428">
        <v>2</v>
      </c>
      <c r="L428">
        <v>699</v>
      </c>
      <c r="M428" s="3">
        <v>0.15</v>
      </c>
      <c r="N428">
        <v>1188.3</v>
      </c>
      <c r="O428">
        <v>760</v>
      </c>
      <c r="P428">
        <v>428.3</v>
      </c>
      <c r="Q428" t="s">
        <v>37</v>
      </c>
      <c r="R428" t="s">
        <v>137</v>
      </c>
      <c r="S428">
        <v>2</v>
      </c>
    </row>
    <row r="429" spans="1:19">
      <c r="A429" t="s">
        <v>758</v>
      </c>
      <c r="B429" s="2">
        <v>46121</v>
      </c>
      <c r="C429" t="s">
        <v>161</v>
      </c>
      <c r="D429" t="s">
        <v>162</v>
      </c>
      <c r="E429" t="s">
        <v>22</v>
      </c>
      <c r="F429">
        <v>44</v>
      </c>
      <c r="G429" t="s">
        <v>146</v>
      </c>
      <c r="H429" t="s">
        <v>61</v>
      </c>
      <c r="I429" t="s">
        <v>163</v>
      </c>
      <c r="J429" t="s">
        <v>164</v>
      </c>
      <c r="K429">
        <v>4</v>
      </c>
      <c r="L429">
        <v>3499</v>
      </c>
      <c r="M429" s="3">
        <v>0.1</v>
      </c>
      <c r="N429">
        <v>12596.4</v>
      </c>
      <c r="O429">
        <v>8800</v>
      </c>
      <c r="P429">
        <v>3796.4</v>
      </c>
      <c r="Q429" t="s">
        <v>69</v>
      </c>
      <c r="R429" t="s">
        <v>28</v>
      </c>
      <c r="S429">
        <v>2</v>
      </c>
    </row>
    <row r="430" spans="1:19">
      <c r="A430" t="s">
        <v>759</v>
      </c>
      <c r="B430" s="2">
        <v>46218</v>
      </c>
      <c r="C430" t="s">
        <v>760</v>
      </c>
      <c r="D430" t="s">
        <v>761</v>
      </c>
      <c r="E430" t="s">
        <v>22</v>
      </c>
      <c r="F430">
        <v>19</v>
      </c>
      <c r="G430" t="s">
        <v>93</v>
      </c>
      <c r="H430" t="s">
        <v>94</v>
      </c>
      <c r="I430" t="s">
        <v>163</v>
      </c>
      <c r="J430" t="s">
        <v>164</v>
      </c>
      <c r="K430">
        <v>3</v>
      </c>
      <c r="L430">
        <v>3499</v>
      </c>
      <c r="M430" s="3">
        <v>0.1</v>
      </c>
      <c r="N430">
        <v>9447.2999999999993</v>
      </c>
      <c r="O430">
        <v>6600</v>
      </c>
      <c r="P430">
        <v>2847.3</v>
      </c>
      <c r="Q430" t="s">
        <v>50</v>
      </c>
      <c r="R430" t="s">
        <v>28</v>
      </c>
      <c r="S430">
        <v>1</v>
      </c>
    </row>
    <row r="431" spans="1:19">
      <c r="A431" t="s">
        <v>762</v>
      </c>
      <c r="B431" s="2">
        <v>46077</v>
      </c>
      <c r="C431" t="s">
        <v>166</v>
      </c>
      <c r="D431" t="s">
        <v>167</v>
      </c>
      <c r="E431" t="s">
        <v>22</v>
      </c>
      <c r="F431">
        <v>36</v>
      </c>
      <c r="G431" t="s">
        <v>146</v>
      </c>
      <c r="H431" t="s">
        <v>61</v>
      </c>
      <c r="I431" t="s">
        <v>43</v>
      </c>
      <c r="J431" t="s">
        <v>95</v>
      </c>
      <c r="K431">
        <v>4</v>
      </c>
      <c r="L431">
        <v>2499</v>
      </c>
      <c r="M431" s="3">
        <v>0.05</v>
      </c>
      <c r="N431">
        <v>9496.2000000000007</v>
      </c>
      <c r="O431">
        <v>6000</v>
      </c>
      <c r="P431">
        <v>3496.2</v>
      </c>
      <c r="Q431" t="s">
        <v>69</v>
      </c>
      <c r="R431" t="s">
        <v>28</v>
      </c>
      <c r="S431">
        <v>2</v>
      </c>
    </row>
    <row r="432" spans="1:19">
      <c r="A432" t="s">
        <v>763</v>
      </c>
      <c r="B432" s="2">
        <v>46126</v>
      </c>
      <c r="C432" t="s">
        <v>603</v>
      </c>
      <c r="D432" t="s">
        <v>604</v>
      </c>
      <c r="E432" t="s">
        <v>32</v>
      </c>
      <c r="F432">
        <v>33</v>
      </c>
      <c r="G432" t="s">
        <v>41</v>
      </c>
      <c r="H432" t="s">
        <v>42</v>
      </c>
      <c r="I432" t="s">
        <v>25</v>
      </c>
      <c r="J432" t="s">
        <v>56</v>
      </c>
      <c r="K432">
        <v>4</v>
      </c>
      <c r="L432">
        <v>899</v>
      </c>
      <c r="M432" s="3">
        <v>0.05</v>
      </c>
      <c r="N432">
        <v>3416.2</v>
      </c>
      <c r="O432">
        <v>2200</v>
      </c>
      <c r="P432">
        <v>1216.2</v>
      </c>
      <c r="Q432" t="s">
        <v>27</v>
      </c>
      <c r="R432" t="s">
        <v>28</v>
      </c>
      <c r="S432">
        <v>1</v>
      </c>
    </row>
    <row r="433" spans="1:19">
      <c r="A433" t="s">
        <v>764</v>
      </c>
      <c r="B433" s="2">
        <v>46126</v>
      </c>
      <c r="C433" t="s">
        <v>491</v>
      </c>
      <c r="D433" t="s">
        <v>92</v>
      </c>
      <c r="E433" t="s">
        <v>22</v>
      </c>
      <c r="F433">
        <v>25</v>
      </c>
      <c r="G433" t="s">
        <v>23</v>
      </c>
      <c r="H433" t="s">
        <v>24</v>
      </c>
      <c r="I433" t="s">
        <v>25</v>
      </c>
      <c r="J433" t="s">
        <v>68</v>
      </c>
      <c r="K433">
        <v>1</v>
      </c>
      <c r="L433">
        <v>2999</v>
      </c>
      <c r="M433" s="3">
        <v>0.15</v>
      </c>
      <c r="N433">
        <v>2549.15</v>
      </c>
      <c r="O433">
        <v>1900</v>
      </c>
      <c r="P433">
        <v>649.15</v>
      </c>
      <c r="Q433" t="s">
        <v>50</v>
      </c>
      <c r="R433" t="s">
        <v>51</v>
      </c>
      <c r="S433">
        <v>2</v>
      </c>
    </row>
    <row r="434" spans="1:19">
      <c r="A434" t="s">
        <v>765</v>
      </c>
      <c r="B434" s="2">
        <v>46101</v>
      </c>
      <c r="C434" t="s">
        <v>207</v>
      </c>
      <c r="D434" t="s">
        <v>72</v>
      </c>
      <c r="E434" t="s">
        <v>22</v>
      </c>
      <c r="F434">
        <v>48</v>
      </c>
      <c r="G434" t="s">
        <v>180</v>
      </c>
      <c r="H434" t="s">
        <v>181</v>
      </c>
      <c r="I434" t="s">
        <v>25</v>
      </c>
      <c r="J434" t="s">
        <v>156</v>
      </c>
      <c r="K434">
        <v>1</v>
      </c>
      <c r="L434">
        <v>1999</v>
      </c>
      <c r="M434" s="3">
        <v>0.2</v>
      </c>
      <c r="N434">
        <v>1599.2</v>
      </c>
      <c r="O434">
        <v>1300</v>
      </c>
      <c r="P434">
        <v>299.2</v>
      </c>
      <c r="Q434" t="s">
        <v>50</v>
      </c>
      <c r="R434" t="s">
        <v>28</v>
      </c>
      <c r="S434">
        <v>5</v>
      </c>
    </row>
    <row r="435" spans="1:19">
      <c r="A435" t="s">
        <v>766</v>
      </c>
      <c r="B435" s="2">
        <v>45764</v>
      </c>
      <c r="C435" t="s">
        <v>511</v>
      </c>
      <c r="D435" t="s">
        <v>512</v>
      </c>
      <c r="E435" t="s">
        <v>22</v>
      </c>
      <c r="F435">
        <v>24</v>
      </c>
      <c r="G435" t="s">
        <v>115</v>
      </c>
      <c r="H435" t="s">
        <v>116</v>
      </c>
      <c r="I435" t="s">
        <v>117</v>
      </c>
      <c r="J435" t="s">
        <v>238</v>
      </c>
      <c r="K435">
        <v>2</v>
      </c>
      <c r="L435">
        <v>2499</v>
      </c>
      <c r="M435" s="3">
        <v>0.05</v>
      </c>
      <c r="N435">
        <v>4748.1000000000004</v>
      </c>
      <c r="O435">
        <v>3000</v>
      </c>
      <c r="P435">
        <v>1748.1</v>
      </c>
      <c r="Q435" t="s">
        <v>66</v>
      </c>
      <c r="R435" t="s">
        <v>28</v>
      </c>
      <c r="S435">
        <v>5</v>
      </c>
    </row>
    <row r="436" spans="1:19">
      <c r="A436" t="s">
        <v>767</v>
      </c>
      <c r="B436" s="2">
        <v>45912</v>
      </c>
      <c r="C436" t="s">
        <v>110</v>
      </c>
      <c r="D436" t="s">
        <v>111</v>
      </c>
      <c r="E436" t="s">
        <v>22</v>
      </c>
      <c r="F436">
        <v>47</v>
      </c>
      <c r="G436" t="s">
        <v>48</v>
      </c>
      <c r="H436" t="s">
        <v>42</v>
      </c>
      <c r="I436" t="s">
        <v>35</v>
      </c>
      <c r="J436" t="s">
        <v>108</v>
      </c>
      <c r="K436">
        <v>4</v>
      </c>
      <c r="L436">
        <v>699</v>
      </c>
      <c r="M436" s="3">
        <v>0.15</v>
      </c>
      <c r="N436">
        <v>2376.6</v>
      </c>
      <c r="O436">
        <v>1520</v>
      </c>
      <c r="P436">
        <v>856.6</v>
      </c>
      <c r="Q436" t="s">
        <v>37</v>
      </c>
      <c r="R436" t="s">
        <v>28</v>
      </c>
      <c r="S436">
        <v>3</v>
      </c>
    </row>
    <row r="437" spans="1:19">
      <c r="A437" t="s">
        <v>768</v>
      </c>
      <c r="B437" s="2">
        <v>46080</v>
      </c>
      <c r="C437" t="s">
        <v>204</v>
      </c>
      <c r="D437" t="s">
        <v>205</v>
      </c>
      <c r="E437" t="s">
        <v>22</v>
      </c>
      <c r="F437">
        <v>45</v>
      </c>
      <c r="G437" t="s">
        <v>81</v>
      </c>
      <c r="H437" t="s">
        <v>82</v>
      </c>
      <c r="I437" t="s">
        <v>35</v>
      </c>
      <c r="J437" t="s">
        <v>136</v>
      </c>
      <c r="K437">
        <v>2</v>
      </c>
      <c r="L437">
        <v>799</v>
      </c>
      <c r="M437" s="3">
        <v>0.05</v>
      </c>
      <c r="N437">
        <v>1518.1</v>
      </c>
      <c r="O437">
        <v>900</v>
      </c>
      <c r="P437">
        <v>618.1</v>
      </c>
      <c r="Q437" t="s">
        <v>50</v>
      </c>
      <c r="R437" t="s">
        <v>28</v>
      </c>
      <c r="S437">
        <v>5</v>
      </c>
    </row>
    <row r="438" spans="1:19">
      <c r="A438" t="s">
        <v>769</v>
      </c>
      <c r="B438" s="2">
        <v>45880</v>
      </c>
      <c r="C438" t="s">
        <v>84</v>
      </c>
      <c r="D438" t="s">
        <v>85</v>
      </c>
      <c r="E438" t="s">
        <v>32</v>
      </c>
      <c r="F438">
        <v>20</v>
      </c>
      <c r="G438" t="s">
        <v>41</v>
      </c>
      <c r="H438" t="s">
        <v>42</v>
      </c>
      <c r="I438" t="s">
        <v>117</v>
      </c>
      <c r="J438" t="s">
        <v>238</v>
      </c>
      <c r="K438">
        <v>3</v>
      </c>
      <c r="L438">
        <v>2499</v>
      </c>
      <c r="M438" s="3">
        <v>0.2</v>
      </c>
      <c r="N438">
        <v>5997.6</v>
      </c>
      <c r="O438">
        <v>4500</v>
      </c>
      <c r="P438">
        <v>1497.6</v>
      </c>
      <c r="Q438" t="s">
        <v>27</v>
      </c>
      <c r="R438" t="s">
        <v>28</v>
      </c>
      <c r="S438">
        <v>3</v>
      </c>
    </row>
    <row r="439" spans="1:19">
      <c r="A439" t="s">
        <v>770</v>
      </c>
      <c r="B439" s="2">
        <v>46173</v>
      </c>
      <c r="C439" t="s">
        <v>199</v>
      </c>
      <c r="D439" t="s">
        <v>200</v>
      </c>
      <c r="E439" t="s">
        <v>22</v>
      </c>
      <c r="F439">
        <v>42</v>
      </c>
      <c r="G439" t="s">
        <v>33</v>
      </c>
      <c r="H439" t="s">
        <v>34</v>
      </c>
      <c r="I439" t="s">
        <v>117</v>
      </c>
      <c r="J439" t="s">
        <v>118</v>
      </c>
      <c r="K439">
        <v>2</v>
      </c>
      <c r="L439">
        <v>999</v>
      </c>
      <c r="M439" s="3">
        <v>0.05</v>
      </c>
      <c r="N439">
        <v>1898.1</v>
      </c>
      <c r="O439">
        <v>1100</v>
      </c>
      <c r="P439">
        <v>798.1</v>
      </c>
      <c r="Q439" t="s">
        <v>50</v>
      </c>
      <c r="R439" t="s">
        <v>28</v>
      </c>
      <c r="S439">
        <v>3</v>
      </c>
    </row>
    <row r="440" spans="1:19">
      <c r="A440" t="s">
        <v>771</v>
      </c>
      <c r="B440" s="2">
        <v>46242</v>
      </c>
      <c r="C440" t="s">
        <v>254</v>
      </c>
      <c r="D440" t="s">
        <v>255</v>
      </c>
      <c r="E440" t="s">
        <v>22</v>
      </c>
      <c r="F440">
        <v>50</v>
      </c>
      <c r="G440" t="s">
        <v>141</v>
      </c>
      <c r="H440" t="s">
        <v>142</v>
      </c>
      <c r="I440" t="s">
        <v>163</v>
      </c>
      <c r="J440" t="s">
        <v>214</v>
      </c>
      <c r="K440">
        <v>4</v>
      </c>
      <c r="L440">
        <v>1499</v>
      </c>
      <c r="M440" s="3">
        <v>0.2</v>
      </c>
      <c r="N440">
        <v>4796.8</v>
      </c>
      <c r="O440">
        <v>3600</v>
      </c>
      <c r="P440">
        <v>1196.8</v>
      </c>
      <c r="Q440" t="s">
        <v>66</v>
      </c>
      <c r="R440" t="s">
        <v>28</v>
      </c>
      <c r="S440">
        <v>5</v>
      </c>
    </row>
    <row r="441" spans="1:19">
      <c r="A441" t="s">
        <v>772</v>
      </c>
      <c r="B441" s="2">
        <v>45767</v>
      </c>
      <c r="C441" t="s">
        <v>134</v>
      </c>
      <c r="D441" t="s">
        <v>135</v>
      </c>
      <c r="E441" t="s">
        <v>32</v>
      </c>
      <c r="F441">
        <v>53</v>
      </c>
      <c r="G441" t="s">
        <v>23</v>
      </c>
      <c r="H441" t="s">
        <v>24</v>
      </c>
      <c r="I441" t="s">
        <v>163</v>
      </c>
      <c r="J441" t="s">
        <v>234</v>
      </c>
      <c r="K441">
        <v>1</v>
      </c>
      <c r="L441">
        <v>999</v>
      </c>
      <c r="M441" s="3">
        <v>0.2</v>
      </c>
      <c r="N441">
        <v>799.2</v>
      </c>
      <c r="O441">
        <v>600</v>
      </c>
      <c r="P441">
        <v>199.2</v>
      </c>
      <c r="Q441" t="s">
        <v>69</v>
      </c>
      <c r="R441" t="s">
        <v>28</v>
      </c>
      <c r="S441">
        <v>1</v>
      </c>
    </row>
    <row r="442" spans="1:19">
      <c r="A442" t="s">
        <v>773</v>
      </c>
      <c r="B442" s="2">
        <v>45951</v>
      </c>
      <c r="C442" t="s">
        <v>384</v>
      </c>
      <c r="D442" t="s">
        <v>385</v>
      </c>
      <c r="E442" t="s">
        <v>32</v>
      </c>
      <c r="F442">
        <v>22</v>
      </c>
      <c r="G442" t="s">
        <v>48</v>
      </c>
      <c r="H442" t="s">
        <v>42</v>
      </c>
      <c r="I442" t="s">
        <v>43</v>
      </c>
      <c r="J442" t="s">
        <v>49</v>
      </c>
      <c r="K442">
        <v>3</v>
      </c>
      <c r="L442">
        <v>799</v>
      </c>
      <c r="M442" s="3">
        <v>0.05</v>
      </c>
      <c r="N442">
        <v>2277.15</v>
      </c>
      <c r="O442">
        <v>1350</v>
      </c>
      <c r="P442">
        <v>927.15</v>
      </c>
      <c r="Q442" t="s">
        <v>37</v>
      </c>
      <c r="R442" t="s">
        <v>28</v>
      </c>
      <c r="S442">
        <v>1</v>
      </c>
    </row>
    <row r="443" spans="1:19">
      <c r="A443" t="s">
        <v>774</v>
      </c>
      <c r="B443" s="2">
        <v>46121</v>
      </c>
      <c r="C443" t="s">
        <v>204</v>
      </c>
      <c r="D443" t="s">
        <v>205</v>
      </c>
      <c r="E443" t="s">
        <v>22</v>
      </c>
      <c r="F443">
        <v>45</v>
      </c>
      <c r="G443" t="s">
        <v>81</v>
      </c>
      <c r="H443" t="s">
        <v>82</v>
      </c>
      <c r="I443" t="s">
        <v>43</v>
      </c>
      <c r="J443" t="s">
        <v>49</v>
      </c>
      <c r="K443">
        <v>1</v>
      </c>
      <c r="L443">
        <v>799</v>
      </c>
      <c r="M443" s="3">
        <v>0.1</v>
      </c>
      <c r="N443">
        <v>719.1</v>
      </c>
      <c r="O443">
        <v>450</v>
      </c>
      <c r="P443">
        <v>269.10000000000002</v>
      </c>
      <c r="Q443" t="s">
        <v>69</v>
      </c>
      <c r="R443" t="s">
        <v>28</v>
      </c>
      <c r="S443">
        <v>5</v>
      </c>
    </row>
    <row r="444" spans="1:19">
      <c r="A444" t="s">
        <v>775</v>
      </c>
      <c r="B444" s="2">
        <v>46181</v>
      </c>
      <c r="C444" t="s">
        <v>479</v>
      </c>
      <c r="D444" t="s">
        <v>480</v>
      </c>
      <c r="E444" t="s">
        <v>22</v>
      </c>
      <c r="F444">
        <v>29</v>
      </c>
      <c r="G444" t="s">
        <v>146</v>
      </c>
      <c r="H444" t="s">
        <v>61</v>
      </c>
      <c r="I444" t="s">
        <v>117</v>
      </c>
      <c r="J444" t="s">
        <v>152</v>
      </c>
      <c r="K444">
        <v>4</v>
      </c>
      <c r="L444">
        <v>899</v>
      </c>
      <c r="M444" s="3">
        <v>0.05</v>
      </c>
      <c r="N444">
        <v>3416.2</v>
      </c>
      <c r="O444">
        <v>2000</v>
      </c>
      <c r="P444">
        <v>1416.2</v>
      </c>
      <c r="Q444" t="s">
        <v>37</v>
      </c>
      <c r="R444" t="s">
        <v>28</v>
      </c>
      <c r="S444">
        <v>1</v>
      </c>
    </row>
    <row r="445" spans="1:19">
      <c r="A445" t="s">
        <v>776</v>
      </c>
      <c r="B445" s="2">
        <v>46223</v>
      </c>
      <c r="C445" t="s">
        <v>192</v>
      </c>
      <c r="D445" t="s">
        <v>193</v>
      </c>
      <c r="E445" t="s">
        <v>32</v>
      </c>
      <c r="F445">
        <v>47</v>
      </c>
      <c r="G445" t="s">
        <v>93</v>
      </c>
      <c r="H445" t="s">
        <v>94</v>
      </c>
      <c r="I445" t="s">
        <v>163</v>
      </c>
      <c r="J445" t="s">
        <v>290</v>
      </c>
      <c r="K445">
        <v>4</v>
      </c>
      <c r="L445">
        <v>1999</v>
      </c>
      <c r="M445" s="3">
        <v>0.1</v>
      </c>
      <c r="N445">
        <v>7196.4</v>
      </c>
      <c r="O445">
        <v>4800</v>
      </c>
      <c r="P445">
        <v>2396.4</v>
      </c>
      <c r="Q445" t="s">
        <v>69</v>
      </c>
      <c r="R445" t="s">
        <v>28</v>
      </c>
      <c r="S445">
        <v>3</v>
      </c>
    </row>
    <row r="446" spans="1:19">
      <c r="A446" t="s">
        <v>777</v>
      </c>
      <c r="B446" s="2">
        <v>46034</v>
      </c>
      <c r="C446" t="s">
        <v>216</v>
      </c>
      <c r="D446" t="s">
        <v>217</v>
      </c>
      <c r="E446" t="s">
        <v>22</v>
      </c>
      <c r="F446">
        <v>43</v>
      </c>
      <c r="G446" t="s">
        <v>115</v>
      </c>
      <c r="H446" t="s">
        <v>116</v>
      </c>
      <c r="I446" t="s">
        <v>75</v>
      </c>
      <c r="J446" t="s">
        <v>106</v>
      </c>
      <c r="K446">
        <v>4</v>
      </c>
      <c r="L446">
        <v>899</v>
      </c>
      <c r="M446" s="3">
        <v>0.05</v>
      </c>
      <c r="N446">
        <v>3416.2</v>
      </c>
      <c r="O446">
        <v>2400</v>
      </c>
      <c r="P446">
        <v>1016.2</v>
      </c>
      <c r="Q446" t="s">
        <v>50</v>
      </c>
      <c r="R446" t="s">
        <v>28</v>
      </c>
      <c r="S446">
        <v>5</v>
      </c>
    </row>
    <row r="447" spans="1:19">
      <c r="A447" t="s">
        <v>778</v>
      </c>
      <c r="B447" s="2">
        <v>46117</v>
      </c>
      <c r="C447" t="s">
        <v>405</v>
      </c>
      <c r="D447" t="s">
        <v>213</v>
      </c>
      <c r="E447" t="s">
        <v>22</v>
      </c>
      <c r="F447">
        <v>28</v>
      </c>
      <c r="G447" t="s">
        <v>60</v>
      </c>
      <c r="H447" t="s">
        <v>61</v>
      </c>
      <c r="I447" t="s">
        <v>117</v>
      </c>
      <c r="J447" t="s">
        <v>152</v>
      </c>
      <c r="K447">
        <v>2</v>
      </c>
      <c r="L447">
        <v>899</v>
      </c>
      <c r="M447" s="3">
        <v>0.1</v>
      </c>
      <c r="N447">
        <v>1618.2</v>
      </c>
      <c r="O447">
        <v>1000</v>
      </c>
      <c r="P447">
        <v>618.20000000000005</v>
      </c>
      <c r="Q447" t="s">
        <v>27</v>
      </c>
      <c r="R447" t="s">
        <v>51</v>
      </c>
      <c r="S447">
        <v>1</v>
      </c>
    </row>
    <row r="448" spans="1:19">
      <c r="A448" t="s">
        <v>779</v>
      </c>
      <c r="B448" s="2">
        <v>45699</v>
      </c>
      <c r="C448" t="s">
        <v>46</v>
      </c>
      <c r="D448" t="s">
        <v>47</v>
      </c>
      <c r="E448" t="s">
        <v>32</v>
      </c>
      <c r="F448">
        <v>26</v>
      </c>
      <c r="G448" t="s">
        <v>48</v>
      </c>
      <c r="H448" t="s">
        <v>42</v>
      </c>
      <c r="I448" t="s">
        <v>43</v>
      </c>
      <c r="J448" t="s">
        <v>95</v>
      </c>
      <c r="K448">
        <v>1</v>
      </c>
      <c r="L448">
        <v>2499</v>
      </c>
      <c r="M448" s="3">
        <v>0.15</v>
      </c>
      <c r="N448">
        <v>2124.15</v>
      </c>
      <c r="O448">
        <v>1500</v>
      </c>
      <c r="P448">
        <v>624.15</v>
      </c>
      <c r="Q448" t="s">
        <v>66</v>
      </c>
      <c r="R448" t="s">
        <v>28</v>
      </c>
      <c r="S448">
        <v>3</v>
      </c>
    </row>
    <row r="449" spans="1:19">
      <c r="A449" t="s">
        <v>780</v>
      </c>
      <c r="B449" s="2">
        <v>45996</v>
      </c>
      <c r="C449" t="s">
        <v>342</v>
      </c>
      <c r="D449" t="s">
        <v>343</v>
      </c>
      <c r="E449" t="s">
        <v>22</v>
      </c>
      <c r="F449">
        <v>23</v>
      </c>
      <c r="G449" t="s">
        <v>48</v>
      </c>
      <c r="H449" t="s">
        <v>42</v>
      </c>
      <c r="I449" t="s">
        <v>43</v>
      </c>
      <c r="J449" t="s">
        <v>95</v>
      </c>
      <c r="K449">
        <v>3</v>
      </c>
      <c r="L449">
        <v>2499</v>
      </c>
      <c r="M449" s="3">
        <v>0</v>
      </c>
      <c r="N449">
        <v>7497</v>
      </c>
      <c r="O449">
        <v>4500</v>
      </c>
      <c r="P449">
        <v>2997</v>
      </c>
      <c r="Q449" t="s">
        <v>66</v>
      </c>
      <c r="R449" t="s">
        <v>28</v>
      </c>
      <c r="S449">
        <v>2</v>
      </c>
    </row>
    <row r="450" spans="1:19">
      <c r="A450" t="s">
        <v>781</v>
      </c>
      <c r="B450" s="2">
        <v>45710</v>
      </c>
      <c r="C450" t="s">
        <v>496</v>
      </c>
      <c r="D450" t="s">
        <v>408</v>
      </c>
      <c r="E450" t="s">
        <v>32</v>
      </c>
      <c r="F450">
        <v>54</v>
      </c>
      <c r="G450" t="s">
        <v>41</v>
      </c>
      <c r="H450" t="s">
        <v>42</v>
      </c>
      <c r="I450" t="s">
        <v>25</v>
      </c>
      <c r="J450" t="s">
        <v>62</v>
      </c>
      <c r="K450">
        <v>3</v>
      </c>
      <c r="L450">
        <v>1299</v>
      </c>
      <c r="M450" s="3">
        <v>0.2</v>
      </c>
      <c r="N450">
        <v>3117.6</v>
      </c>
      <c r="O450">
        <v>2400</v>
      </c>
      <c r="P450">
        <v>717.6</v>
      </c>
      <c r="Q450" t="s">
        <v>50</v>
      </c>
      <c r="R450" t="s">
        <v>137</v>
      </c>
      <c r="S450">
        <v>3</v>
      </c>
    </row>
    <row r="451" spans="1:19">
      <c r="A451" t="s">
        <v>782</v>
      </c>
      <c r="B451" s="2">
        <v>45983</v>
      </c>
      <c r="C451" t="s">
        <v>64</v>
      </c>
      <c r="D451" t="s">
        <v>65</v>
      </c>
      <c r="E451" t="s">
        <v>32</v>
      </c>
      <c r="F451">
        <v>31</v>
      </c>
      <c r="G451" t="s">
        <v>33</v>
      </c>
      <c r="H451" t="s">
        <v>34</v>
      </c>
      <c r="I451" t="s">
        <v>75</v>
      </c>
      <c r="J451" t="s">
        <v>86</v>
      </c>
      <c r="K451">
        <v>3</v>
      </c>
      <c r="L451">
        <v>499</v>
      </c>
      <c r="M451" s="3">
        <v>0</v>
      </c>
      <c r="N451">
        <v>1497</v>
      </c>
      <c r="O451">
        <v>900</v>
      </c>
      <c r="P451">
        <v>597</v>
      </c>
      <c r="Q451" t="s">
        <v>50</v>
      </c>
      <c r="R451" t="s">
        <v>28</v>
      </c>
      <c r="S451">
        <v>2</v>
      </c>
    </row>
    <row r="452" spans="1:19">
      <c r="A452" t="s">
        <v>783</v>
      </c>
      <c r="B452" s="2">
        <v>46214</v>
      </c>
      <c r="C452" t="s">
        <v>329</v>
      </c>
      <c r="D452" t="s">
        <v>330</v>
      </c>
      <c r="E452" t="s">
        <v>22</v>
      </c>
      <c r="F452">
        <v>28</v>
      </c>
      <c r="G452" t="s">
        <v>81</v>
      </c>
      <c r="H452" t="s">
        <v>82</v>
      </c>
      <c r="I452" t="s">
        <v>25</v>
      </c>
      <c r="J452" t="s">
        <v>26</v>
      </c>
      <c r="K452">
        <v>2</v>
      </c>
      <c r="L452">
        <v>2499</v>
      </c>
      <c r="M452" s="3">
        <v>0.15</v>
      </c>
      <c r="N452">
        <v>4248.3</v>
      </c>
      <c r="O452">
        <v>3200</v>
      </c>
      <c r="P452">
        <v>1048.3</v>
      </c>
      <c r="Q452" t="s">
        <v>50</v>
      </c>
      <c r="R452" t="s">
        <v>28</v>
      </c>
      <c r="S452">
        <v>3</v>
      </c>
    </row>
    <row r="453" spans="1:19">
      <c r="A453" t="s">
        <v>784</v>
      </c>
      <c r="B453" s="2">
        <v>46027</v>
      </c>
      <c r="C453" t="s">
        <v>310</v>
      </c>
      <c r="D453" t="s">
        <v>311</v>
      </c>
      <c r="E453" t="s">
        <v>32</v>
      </c>
      <c r="F453">
        <v>50</v>
      </c>
      <c r="G453" t="s">
        <v>81</v>
      </c>
      <c r="H453" t="s">
        <v>82</v>
      </c>
      <c r="I453" t="s">
        <v>43</v>
      </c>
      <c r="J453" t="s">
        <v>49</v>
      </c>
      <c r="K453">
        <v>3</v>
      </c>
      <c r="L453">
        <v>799</v>
      </c>
      <c r="M453" s="3">
        <v>0.1</v>
      </c>
      <c r="N453">
        <v>2157.3000000000002</v>
      </c>
      <c r="O453">
        <v>1350</v>
      </c>
      <c r="P453">
        <v>807.3</v>
      </c>
      <c r="Q453" t="s">
        <v>37</v>
      </c>
      <c r="R453" t="s">
        <v>28</v>
      </c>
      <c r="S453">
        <v>5</v>
      </c>
    </row>
    <row r="454" spans="1:19">
      <c r="A454" t="s">
        <v>785</v>
      </c>
      <c r="B454" s="2">
        <v>46012</v>
      </c>
      <c r="C454" t="s">
        <v>720</v>
      </c>
      <c r="D454" t="s">
        <v>200</v>
      </c>
      <c r="E454" t="s">
        <v>22</v>
      </c>
      <c r="F454">
        <v>22</v>
      </c>
      <c r="G454" t="s">
        <v>33</v>
      </c>
      <c r="H454" t="s">
        <v>34</v>
      </c>
      <c r="I454" t="s">
        <v>35</v>
      </c>
      <c r="J454" t="s">
        <v>36</v>
      </c>
      <c r="K454">
        <v>1</v>
      </c>
      <c r="L454">
        <v>599</v>
      </c>
      <c r="M454" s="3">
        <v>0</v>
      </c>
      <c r="N454">
        <v>599</v>
      </c>
      <c r="O454">
        <v>320</v>
      </c>
      <c r="P454">
        <v>279</v>
      </c>
      <c r="Q454" t="s">
        <v>66</v>
      </c>
      <c r="R454" t="s">
        <v>28</v>
      </c>
      <c r="S454">
        <v>5</v>
      </c>
    </row>
    <row r="455" spans="1:19">
      <c r="A455" t="s">
        <v>786</v>
      </c>
      <c r="B455" s="2">
        <v>45774</v>
      </c>
      <c r="C455" t="s">
        <v>189</v>
      </c>
      <c r="D455" t="s">
        <v>190</v>
      </c>
      <c r="E455" t="s">
        <v>32</v>
      </c>
      <c r="F455">
        <v>22</v>
      </c>
      <c r="G455" t="s">
        <v>115</v>
      </c>
      <c r="H455" t="s">
        <v>116</v>
      </c>
      <c r="I455" t="s">
        <v>25</v>
      </c>
      <c r="J455" t="s">
        <v>68</v>
      </c>
      <c r="K455">
        <v>3</v>
      </c>
      <c r="L455">
        <v>2999</v>
      </c>
      <c r="M455" s="3">
        <v>0.15</v>
      </c>
      <c r="N455">
        <v>7647.45</v>
      </c>
      <c r="O455">
        <v>5700</v>
      </c>
      <c r="P455">
        <v>1947.45</v>
      </c>
      <c r="Q455" t="s">
        <v>66</v>
      </c>
      <c r="R455" t="s">
        <v>28</v>
      </c>
      <c r="S455">
        <v>3</v>
      </c>
    </row>
    <row r="456" spans="1:19">
      <c r="A456" t="s">
        <v>787</v>
      </c>
      <c r="B456" s="2">
        <v>46178</v>
      </c>
      <c r="C456" t="s">
        <v>390</v>
      </c>
      <c r="D456" t="s">
        <v>391</v>
      </c>
      <c r="E456" t="s">
        <v>32</v>
      </c>
      <c r="F456">
        <v>27</v>
      </c>
      <c r="G456" t="s">
        <v>55</v>
      </c>
      <c r="H456" t="s">
        <v>34</v>
      </c>
      <c r="I456" t="s">
        <v>35</v>
      </c>
      <c r="J456" t="s">
        <v>108</v>
      </c>
      <c r="K456">
        <v>3</v>
      </c>
      <c r="L456">
        <v>699</v>
      </c>
      <c r="M456" s="3">
        <v>0.2</v>
      </c>
      <c r="N456">
        <v>1677.6</v>
      </c>
      <c r="O456">
        <v>1140</v>
      </c>
      <c r="P456">
        <v>537.6</v>
      </c>
      <c r="Q456" t="s">
        <v>66</v>
      </c>
      <c r="R456" t="s">
        <v>28</v>
      </c>
      <c r="S456">
        <v>3</v>
      </c>
    </row>
    <row r="457" spans="1:19">
      <c r="A457" t="s">
        <v>788</v>
      </c>
      <c r="B457" s="2">
        <v>45829</v>
      </c>
      <c r="C457" t="s">
        <v>789</v>
      </c>
      <c r="D457" t="s">
        <v>790</v>
      </c>
      <c r="E457" t="s">
        <v>22</v>
      </c>
      <c r="F457">
        <v>21</v>
      </c>
      <c r="G457" t="s">
        <v>141</v>
      </c>
      <c r="H457" t="s">
        <v>142</v>
      </c>
      <c r="I457" t="s">
        <v>163</v>
      </c>
      <c r="J457" t="s">
        <v>164</v>
      </c>
      <c r="K457">
        <v>1</v>
      </c>
      <c r="L457">
        <v>3499</v>
      </c>
      <c r="M457" s="3">
        <v>0</v>
      </c>
      <c r="N457">
        <v>3499</v>
      </c>
      <c r="O457">
        <v>2200</v>
      </c>
      <c r="P457">
        <v>1299</v>
      </c>
      <c r="Q457" t="s">
        <v>50</v>
      </c>
      <c r="R457" t="s">
        <v>28</v>
      </c>
      <c r="S457">
        <v>1</v>
      </c>
    </row>
    <row r="458" spans="1:19">
      <c r="A458" t="s">
        <v>791</v>
      </c>
      <c r="B458" s="2">
        <v>45764</v>
      </c>
      <c r="C458" t="s">
        <v>88</v>
      </c>
      <c r="D458" t="s">
        <v>89</v>
      </c>
      <c r="E458" t="s">
        <v>32</v>
      </c>
      <c r="F458">
        <v>53</v>
      </c>
      <c r="G458" t="s">
        <v>41</v>
      </c>
      <c r="H458" t="s">
        <v>42</v>
      </c>
      <c r="I458" t="s">
        <v>117</v>
      </c>
      <c r="J458" t="s">
        <v>118</v>
      </c>
      <c r="K458">
        <v>2</v>
      </c>
      <c r="L458">
        <v>999</v>
      </c>
      <c r="M458" s="3">
        <v>0.15</v>
      </c>
      <c r="N458">
        <v>1698.3</v>
      </c>
      <c r="O458">
        <v>1100</v>
      </c>
      <c r="P458">
        <v>598.29999999999995</v>
      </c>
      <c r="Q458" t="s">
        <v>27</v>
      </c>
      <c r="R458" t="s">
        <v>28</v>
      </c>
      <c r="S458">
        <v>4</v>
      </c>
    </row>
    <row r="459" spans="1:19">
      <c r="A459" t="s">
        <v>792</v>
      </c>
      <c r="B459" s="2">
        <v>46128</v>
      </c>
      <c r="C459" t="s">
        <v>261</v>
      </c>
      <c r="D459" t="s">
        <v>262</v>
      </c>
      <c r="E459" t="s">
        <v>22</v>
      </c>
      <c r="F459">
        <v>54</v>
      </c>
      <c r="G459" t="s">
        <v>60</v>
      </c>
      <c r="H459" t="s">
        <v>61</v>
      </c>
      <c r="I459" t="s">
        <v>117</v>
      </c>
      <c r="J459" t="s">
        <v>152</v>
      </c>
      <c r="K459">
        <v>2</v>
      </c>
      <c r="L459">
        <v>899</v>
      </c>
      <c r="M459" s="3">
        <v>0</v>
      </c>
      <c r="N459">
        <v>1798</v>
      </c>
      <c r="O459">
        <v>1000</v>
      </c>
      <c r="P459">
        <v>798</v>
      </c>
      <c r="Q459" t="s">
        <v>37</v>
      </c>
      <c r="R459" t="s">
        <v>28</v>
      </c>
      <c r="S459">
        <v>1</v>
      </c>
    </row>
    <row r="460" spans="1:19">
      <c r="A460" t="s">
        <v>793</v>
      </c>
      <c r="B460" s="2">
        <v>45730</v>
      </c>
      <c r="C460" t="s">
        <v>332</v>
      </c>
      <c r="D460" t="s">
        <v>333</v>
      </c>
      <c r="E460" t="s">
        <v>32</v>
      </c>
      <c r="F460">
        <v>28</v>
      </c>
      <c r="G460" t="s">
        <v>93</v>
      </c>
      <c r="H460" t="s">
        <v>94</v>
      </c>
      <c r="I460" t="s">
        <v>43</v>
      </c>
      <c r="J460" t="s">
        <v>95</v>
      </c>
      <c r="K460">
        <v>3</v>
      </c>
      <c r="L460">
        <v>2499</v>
      </c>
      <c r="M460" s="3">
        <v>0.2</v>
      </c>
      <c r="N460">
        <v>5997.6</v>
      </c>
      <c r="O460">
        <v>4500</v>
      </c>
      <c r="P460">
        <v>1497.6</v>
      </c>
      <c r="Q460" t="s">
        <v>50</v>
      </c>
      <c r="R460" t="s">
        <v>137</v>
      </c>
      <c r="S460">
        <v>3</v>
      </c>
    </row>
    <row r="461" spans="1:19">
      <c r="A461" t="s">
        <v>794</v>
      </c>
      <c r="B461" s="2">
        <v>46101</v>
      </c>
      <c r="C461" t="s">
        <v>568</v>
      </c>
      <c r="D461" t="s">
        <v>569</v>
      </c>
      <c r="E461" t="s">
        <v>22</v>
      </c>
      <c r="F461">
        <v>18</v>
      </c>
      <c r="G461" t="s">
        <v>48</v>
      </c>
      <c r="H461" t="s">
        <v>42</v>
      </c>
      <c r="I461" t="s">
        <v>163</v>
      </c>
      <c r="J461" t="s">
        <v>290</v>
      </c>
      <c r="K461">
        <v>4</v>
      </c>
      <c r="L461">
        <v>1999</v>
      </c>
      <c r="M461" s="3">
        <v>0.15</v>
      </c>
      <c r="N461">
        <v>6796.6</v>
      </c>
      <c r="O461">
        <v>4800</v>
      </c>
      <c r="P461">
        <v>1996.6</v>
      </c>
      <c r="Q461" t="s">
        <v>37</v>
      </c>
      <c r="R461" t="s">
        <v>28</v>
      </c>
      <c r="S461">
        <v>1</v>
      </c>
    </row>
    <row r="462" spans="1:19">
      <c r="A462" t="s">
        <v>795</v>
      </c>
      <c r="B462" s="2">
        <v>45704</v>
      </c>
      <c r="C462" t="s">
        <v>58</v>
      </c>
      <c r="D462" t="s">
        <v>59</v>
      </c>
      <c r="E462" t="s">
        <v>32</v>
      </c>
      <c r="F462">
        <v>25</v>
      </c>
      <c r="G462" t="s">
        <v>60</v>
      </c>
      <c r="H462" t="s">
        <v>61</v>
      </c>
      <c r="I462" t="s">
        <v>25</v>
      </c>
      <c r="J462" t="s">
        <v>156</v>
      </c>
      <c r="K462">
        <v>1</v>
      </c>
      <c r="L462">
        <v>1999</v>
      </c>
      <c r="M462" s="3">
        <v>0.2</v>
      </c>
      <c r="N462">
        <v>1599.2</v>
      </c>
      <c r="O462">
        <v>1300</v>
      </c>
      <c r="P462">
        <v>299.2</v>
      </c>
      <c r="Q462" t="s">
        <v>69</v>
      </c>
      <c r="R462" t="s">
        <v>28</v>
      </c>
      <c r="S462">
        <v>5</v>
      </c>
    </row>
    <row r="463" spans="1:19">
      <c r="A463" t="s">
        <v>796</v>
      </c>
      <c r="B463" s="2">
        <v>45746</v>
      </c>
      <c r="C463" t="s">
        <v>453</v>
      </c>
      <c r="D463" t="s">
        <v>454</v>
      </c>
      <c r="E463" t="s">
        <v>32</v>
      </c>
      <c r="F463">
        <v>25</v>
      </c>
      <c r="G463" t="s">
        <v>141</v>
      </c>
      <c r="H463" t="s">
        <v>142</v>
      </c>
      <c r="I463" t="s">
        <v>43</v>
      </c>
      <c r="J463" t="s">
        <v>44</v>
      </c>
      <c r="K463">
        <v>3</v>
      </c>
      <c r="L463">
        <v>1599</v>
      </c>
      <c r="M463" s="3">
        <v>0.2</v>
      </c>
      <c r="N463">
        <v>3837.6</v>
      </c>
      <c r="O463">
        <v>2850</v>
      </c>
      <c r="P463">
        <v>987.6</v>
      </c>
      <c r="Q463" t="s">
        <v>37</v>
      </c>
      <c r="R463" t="s">
        <v>28</v>
      </c>
      <c r="S463">
        <v>4</v>
      </c>
    </row>
    <row r="464" spans="1:19">
      <c r="A464" t="s">
        <v>797</v>
      </c>
      <c r="B464" s="2">
        <v>45818</v>
      </c>
      <c r="C464" t="s">
        <v>192</v>
      </c>
      <c r="D464" t="s">
        <v>193</v>
      </c>
      <c r="E464" t="s">
        <v>32</v>
      </c>
      <c r="F464">
        <v>47</v>
      </c>
      <c r="G464" t="s">
        <v>93</v>
      </c>
      <c r="H464" t="s">
        <v>94</v>
      </c>
      <c r="I464" t="s">
        <v>163</v>
      </c>
      <c r="J464" t="s">
        <v>290</v>
      </c>
      <c r="K464">
        <v>1</v>
      </c>
      <c r="L464">
        <v>1999</v>
      </c>
      <c r="M464" s="3">
        <v>0.15</v>
      </c>
      <c r="N464">
        <v>1699.15</v>
      </c>
      <c r="O464">
        <v>1200</v>
      </c>
      <c r="P464">
        <v>499.15</v>
      </c>
      <c r="Q464" t="s">
        <v>50</v>
      </c>
      <c r="R464" t="s">
        <v>28</v>
      </c>
      <c r="S464">
        <v>4</v>
      </c>
    </row>
    <row r="465" spans="1:19">
      <c r="A465" t="s">
        <v>798</v>
      </c>
      <c r="B465" s="2">
        <v>46040</v>
      </c>
      <c r="C465" t="s">
        <v>573</v>
      </c>
      <c r="D465" t="s">
        <v>92</v>
      </c>
      <c r="E465" t="s">
        <v>32</v>
      </c>
      <c r="F465">
        <v>41</v>
      </c>
      <c r="G465" t="s">
        <v>60</v>
      </c>
      <c r="H465" t="s">
        <v>61</v>
      </c>
      <c r="I465" t="s">
        <v>43</v>
      </c>
      <c r="J465" t="s">
        <v>44</v>
      </c>
      <c r="K465">
        <v>2</v>
      </c>
      <c r="L465">
        <v>1599</v>
      </c>
      <c r="M465" s="3">
        <v>0.1</v>
      </c>
      <c r="N465">
        <v>2878.2</v>
      </c>
      <c r="O465">
        <v>1900</v>
      </c>
      <c r="P465">
        <v>978.2</v>
      </c>
      <c r="Q465" t="s">
        <v>69</v>
      </c>
      <c r="R465" t="s">
        <v>28</v>
      </c>
      <c r="S465">
        <v>5</v>
      </c>
    </row>
    <row r="466" spans="1:19">
      <c r="A466" t="s">
        <v>799</v>
      </c>
      <c r="B466" s="2">
        <v>46244</v>
      </c>
      <c r="C466" t="s">
        <v>598</v>
      </c>
      <c r="D466" t="s">
        <v>225</v>
      </c>
      <c r="E466" t="s">
        <v>22</v>
      </c>
      <c r="F466">
        <v>37</v>
      </c>
      <c r="G466" t="s">
        <v>48</v>
      </c>
      <c r="H466" t="s">
        <v>42</v>
      </c>
      <c r="I466" t="s">
        <v>25</v>
      </c>
      <c r="J466" t="s">
        <v>56</v>
      </c>
      <c r="K466">
        <v>1</v>
      </c>
      <c r="L466">
        <v>899</v>
      </c>
      <c r="M466" s="3">
        <v>0</v>
      </c>
      <c r="N466">
        <v>899</v>
      </c>
      <c r="O466">
        <v>550</v>
      </c>
      <c r="P466">
        <v>349</v>
      </c>
      <c r="Q466" t="s">
        <v>50</v>
      </c>
      <c r="R466" t="s">
        <v>28</v>
      </c>
      <c r="S466">
        <v>5</v>
      </c>
    </row>
    <row r="467" spans="1:19">
      <c r="A467" t="s">
        <v>800</v>
      </c>
      <c r="B467" s="2">
        <v>45874</v>
      </c>
      <c r="C467" t="s">
        <v>801</v>
      </c>
      <c r="D467" t="s">
        <v>225</v>
      </c>
      <c r="E467" t="s">
        <v>32</v>
      </c>
      <c r="F467">
        <v>55</v>
      </c>
      <c r="G467" t="s">
        <v>41</v>
      </c>
      <c r="H467" t="s">
        <v>42</v>
      </c>
      <c r="I467" t="s">
        <v>43</v>
      </c>
      <c r="J467" t="s">
        <v>44</v>
      </c>
      <c r="K467">
        <v>2</v>
      </c>
      <c r="L467">
        <v>1599</v>
      </c>
      <c r="M467" s="3">
        <v>0.1</v>
      </c>
      <c r="N467">
        <v>2878.2</v>
      </c>
      <c r="O467">
        <v>1900</v>
      </c>
      <c r="P467">
        <v>978.2</v>
      </c>
      <c r="Q467" t="s">
        <v>66</v>
      </c>
      <c r="R467" t="s">
        <v>77</v>
      </c>
      <c r="S467">
        <v>2</v>
      </c>
    </row>
    <row r="468" spans="1:19">
      <c r="A468" t="s">
        <v>802</v>
      </c>
      <c r="B468" s="2">
        <v>45916</v>
      </c>
      <c r="C468" t="s">
        <v>676</v>
      </c>
      <c r="D468" t="s">
        <v>293</v>
      </c>
      <c r="E468" t="s">
        <v>22</v>
      </c>
      <c r="F468">
        <v>35</v>
      </c>
      <c r="G468" t="s">
        <v>23</v>
      </c>
      <c r="H468" t="s">
        <v>24</v>
      </c>
      <c r="I468" t="s">
        <v>43</v>
      </c>
      <c r="J468" t="s">
        <v>95</v>
      </c>
      <c r="K468">
        <v>2</v>
      </c>
      <c r="L468">
        <v>2499</v>
      </c>
      <c r="M468" s="3">
        <v>0.2</v>
      </c>
      <c r="N468">
        <v>3998.4</v>
      </c>
      <c r="O468">
        <v>3000</v>
      </c>
      <c r="P468">
        <v>998.4</v>
      </c>
      <c r="Q468" t="s">
        <v>27</v>
      </c>
      <c r="R468" t="s">
        <v>28</v>
      </c>
      <c r="S468">
        <v>5</v>
      </c>
    </row>
    <row r="469" spans="1:19">
      <c r="A469" t="s">
        <v>803</v>
      </c>
      <c r="B469" s="2">
        <v>45732</v>
      </c>
      <c r="C469" t="s">
        <v>332</v>
      </c>
      <c r="D469" t="s">
        <v>333</v>
      </c>
      <c r="E469" t="s">
        <v>32</v>
      </c>
      <c r="F469">
        <v>28</v>
      </c>
      <c r="G469" t="s">
        <v>93</v>
      </c>
      <c r="H469" t="s">
        <v>94</v>
      </c>
      <c r="I469" t="s">
        <v>35</v>
      </c>
      <c r="J469" t="s">
        <v>126</v>
      </c>
      <c r="K469">
        <v>4</v>
      </c>
      <c r="L469">
        <v>1499</v>
      </c>
      <c r="M469" s="3">
        <v>0.2</v>
      </c>
      <c r="N469">
        <v>4796.8</v>
      </c>
      <c r="O469">
        <v>3400</v>
      </c>
      <c r="P469">
        <v>1396.8</v>
      </c>
      <c r="Q469" t="s">
        <v>37</v>
      </c>
      <c r="R469" t="s">
        <v>28</v>
      </c>
      <c r="S469">
        <v>3</v>
      </c>
    </row>
    <row r="470" spans="1:19">
      <c r="A470" t="s">
        <v>804</v>
      </c>
      <c r="B470" s="2">
        <v>46023</v>
      </c>
      <c r="C470" t="s">
        <v>240</v>
      </c>
      <c r="D470" t="s">
        <v>241</v>
      </c>
      <c r="E470" t="s">
        <v>32</v>
      </c>
      <c r="F470">
        <v>51</v>
      </c>
      <c r="G470" t="s">
        <v>81</v>
      </c>
      <c r="H470" t="s">
        <v>82</v>
      </c>
      <c r="I470" t="s">
        <v>43</v>
      </c>
      <c r="J470" t="s">
        <v>49</v>
      </c>
      <c r="K470">
        <v>4</v>
      </c>
      <c r="L470">
        <v>799</v>
      </c>
      <c r="M470" s="3">
        <v>0.1</v>
      </c>
      <c r="N470">
        <v>2876.4</v>
      </c>
      <c r="O470">
        <v>1800</v>
      </c>
      <c r="P470">
        <v>1076.4000000000001</v>
      </c>
      <c r="Q470" t="s">
        <v>27</v>
      </c>
      <c r="R470" t="s">
        <v>28</v>
      </c>
      <c r="S470">
        <v>2</v>
      </c>
    </row>
    <row r="471" spans="1:19">
      <c r="A471" t="s">
        <v>805</v>
      </c>
      <c r="B471" s="2">
        <v>45983</v>
      </c>
      <c r="C471" t="s">
        <v>240</v>
      </c>
      <c r="D471" t="s">
        <v>241</v>
      </c>
      <c r="E471" t="s">
        <v>32</v>
      </c>
      <c r="F471">
        <v>51</v>
      </c>
      <c r="G471" t="s">
        <v>81</v>
      </c>
      <c r="H471" t="s">
        <v>82</v>
      </c>
      <c r="I471" t="s">
        <v>43</v>
      </c>
      <c r="J471" t="s">
        <v>44</v>
      </c>
      <c r="K471">
        <v>1</v>
      </c>
      <c r="L471">
        <v>1599</v>
      </c>
      <c r="M471" s="3">
        <v>0.05</v>
      </c>
      <c r="N471">
        <v>1519.05</v>
      </c>
      <c r="O471">
        <v>950</v>
      </c>
      <c r="P471">
        <v>569.04999999999995</v>
      </c>
      <c r="Q471" t="s">
        <v>66</v>
      </c>
      <c r="R471" t="s">
        <v>28</v>
      </c>
      <c r="S471">
        <v>5</v>
      </c>
    </row>
    <row r="472" spans="1:19">
      <c r="A472" t="s">
        <v>806</v>
      </c>
      <c r="B472" s="2">
        <v>46238</v>
      </c>
      <c r="C472" t="s">
        <v>103</v>
      </c>
      <c r="D472" t="s">
        <v>104</v>
      </c>
      <c r="E472" t="s">
        <v>32</v>
      </c>
      <c r="F472">
        <v>27</v>
      </c>
      <c r="G472" t="s">
        <v>105</v>
      </c>
      <c r="H472" t="s">
        <v>105</v>
      </c>
      <c r="I472" t="s">
        <v>117</v>
      </c>
      <c r="J472" t="s">
        <v>238</v>
      </c>
      <c r="K472">
        <v>2</v>
      </c>
      <c r="L472">
        <v>2499</v>
      </c>
      <c r="M472" s="3">
        <v>0.2</v>
      </c>
      <c r="N472">
        <v>3998.4</v>
      </c>
      <c r="O472">
        <v>3000</v>
      </c>
      <c r="P472">
        <v>998.4</v>
      </c>
      <c r="Q472" t="s">
        <v>37</v>
      </c>
      <c r="R472" t="s">
        <v>137</v>
      </c>
      <c r="S472">
        <v>4</v>
      </c>
    </row>
    <row r="473" spans="1:19">
      <c r="A473" t="s">
        <v>807</v>
      </c>
      <c r="B473" s="2">
        <v>45884</v>
      </c>
      <c r="C473" t="s">
        <v>407</v>
      </c>
      <c r="D473" t="s">
        <v>408</v>
      </c>
      <c r="E473" t="s">
        <v>32</v>
      </c>
      <c r="F473">
        <v>44</v>
      </c>
      <c r="G473" t="s">
        <v>48</v>
      </c>
      <c r="H473" t="s">
        <v>42</v>
      </c>
      <c r="I473" t="s">
        <v>25</v>
      </c>
      <c r="J473" t="s">
        <v>156</v>
      </c>
      <c r="K473">
        <v>3</v>
      </c>
      <c r="L473">
        <v>1999</v>
      </c>
      <c r="M473" s="3">
        <v>0.05</v>
      </c>
      <c r="N473">
        <v>5697.15</v>
      </c>
      <c r="O473">
        <v>3900</v>
      </c>
      <c r="P473">
        <v>1797.15</v>
      </c>
      <c r="Q473" t="s">
        <v>66</v>
      </c>
      <c r="R473" t="s">
        <v>28</v>
      </c>
      <c r="S473">
        <v>3</v>
      </c>
    </row>
    <row r="474" spans="1:19">
      <c r="A474" t="s">
        <v>808</v>
      </c>
      <c r="B474" s="2">
        <v>46131</v>
      </c>
      <c r="C474" t="s">
        <v>422</v>
      </c>
      <c r="D474" t="s">
        <v>423</v>
      </c>
      <c r="E474" t="s">
        <v>22</v>
      </c>
      <c r="F474">
        <v>26</v>
      </c>
      <c r="G474" t="s">
        <v>141</v>
      </c>
      <c r="H474" t="s">
        <v>142</v>
      </c>
      <c r="I474" t="s">
        <v>117</v>
      </c>
      <c r="J474" t="s">
        <v>118</v>
      </c>
      <c r="K474">
        <v>3</v>
      </c>
      <c r="L474">
        <v>999</v>
      </c>
      <c r="M474" s="3">
        <v>0.15</v>
      </c>
      <c r="N474">
        <v>2547.4499999999998</v>
      </c>
      <c r="O474">
        <v>1650</v>
      </c>
      <c r="P474">
        <v>897.45</v>
      </c>
      <c r="Q474" t="s">
        <v>66</v>
      </c>
      <c r="R474" t="s">
        <v>28</v>
      </c>
      <c r="S474">
        <v>3</v>
      </c>
    </row>
    <row r="475" spans="1:19">
      <c r="A475" t="s">
        <v>809</v>
      </c>
      <c r="B475" s="2">
        <v>45741</v>
      </c>
      <c r="C475" t="s">
        <v>178</v>
      </c>
      <c r="D475" t="s">
        <v>179</v>
      </c>
      <c r="E475" t="s">
        <v>32</v>
      </c>
      <c r="F475">
        <v>29</v>
      </c>
      <c r="G475" t="s">
        <v>180</v>
      </c>
      <c r="H475" t="s">
        <v>181</v>
      </c>
      <c r="I475" t="s">
        <v>35</v>
      </c>
      <c r="J475" t="s">
        <v>126</v>
      </c>
      <c r="K475">
        <v>1</v>
      </c>
      <c r="L475">
        <v>1499</v>
      </c>
      <c r="M475" s="3">
        <v>0.05</v>
      </c>
      <c r="N475">
        <v>1424.05</v>
      </c>
      <c r="O475">
        <v>850</v>
      </c>
      <c r="P475">
        <v>574.04999999999995</v>
      </c>
      <c r="Q475" t="s">
        <v>37</v>
      </c>
      <c r="R475" t="s">
        <v>137</v>
      </c>
      <c r="S475">
        <v>2</v>
      </c>
    </row>
    <row r="476" spans="1:19">
      <c r="A476" t="s">
        <v>810</v>
      </c>
      <c r="B476" s="2">
        <v>45735</v>
      </c>
      <c r="C476" t="s">
        <v>467</v>
      </c>
      <c r="D476" t="s">
        <v>322</v>
      </c>
      <c r="E476" t="s">
        <v>32</v>
      </c>
      <c r="F476">
        <v>41</v>
      </c>
      <c r="G476" t="s">
        <v>55</v>
      </c>
      <c r="H476" t="s">
        <v>34</v>
      </c>
      <c r="I476" t="s">
        <v>43</v>
      </c>
      <c r="J476" t="s">
        <v>49</v>
      </c>
      <c r="K476">
        <v>3</v>
      </c>
      <c r="L476">
        <v>799</v>
      </c>
      <c r="M476" s="3">
        <v>0</v>
      </c>
      <c r="N476">
        <v>2397</v>
      </c>
      <c r="O476">
        <v>1350</v>
      </c>
      <c r="P476">
        <v>1047</v>
      </c>
      <c r="Q476" t="s">
        <v>69</v>
      </c>
      <c r="R476" t="s">
        <v>137</v>
      </c>
      <c r="S476">
        <v>1</v>
      </c>
    </row>
    <row r="477" spans="1:19">
      <c r="A477" t="s">
        <v>811</v>
      </c>
      <c r="B477" s="2">
        <v>45875</v>
      </c>
      <c r="C477" t="s">
        <v>212</v>
      </c>
      <c r="D477" t="s">
        <v>213</v>
      </c>
      <c r="E477" t="s">
        <v>22</v>
      </c>
      <c r="F477">
        <v>33</v>
      </c>
      <c r="G477" t="s">
        <v>48</v>
      </c>
      <c r="H477" t="s">
        <v>42</v>
      </c>
      <c r="I477" t="s">
        <v>75</v>
      </c>
      <c r="J477" t="s">
        <v>86</v>
      </c>
      <c r="K477">
        <v>4</v>
      </c>
      <c r="L477">
        <v>499</v>
      </c>
      <c r="M477" s="3">
        <v>0.2</v>
      </c>
      <c r="N477">
        <v>1596.8</v>
      </c>
      <c r="O477">
        <v>1200</v>
      </c>
      <c r="P477">
        <v>396.8</v>
      </c>
      <c r="Q477" t="s">
        <v>69</v>
      </c>
      <c r="R477" t="s">
        <v>28</v>
      </c>
      <c r="S477">
        <v>5</v>
      </c>
    </row>
    <row r="478" spans="1:19">
      <c r="A478" t="s">
        <v>812</v>
      </c>
      <c r="B478" s="2">
        <v>46059</v>
      </c>
      <c r="C478" t="s">
        <v>233</v>
      </c>
      <c r="D478" t="s">
        <v>213</v>
      </c>
      <c r="E478" t="s">
        <v>32</v>
      </c>
      <c r="F478">
        <v>18</v>
      </c>
      <c r="G478" t="s">
        <v>93</v>
      </c>
      <c r="H478" t="s">
        <v>94</v>
      </c>
      <c r="I478" t="s">
        <v>35</v>
      </c>
      <c r="J478" t="s">
        <v>36</v>
      </c>
      <c r="K478">
        <v>2</v>
      </c>
      <c r="L478">
        <v>599</v>
      </c>
      <c r="M478" s="3">
        <v>0.1</v>
      </c>
      <c r="N478">
        <v>1078.2</v>
      </c>
      <c r="O478">
        <v>640</v>
      </c>
      <c r="P478">
        <v>438.2</v>
      </c>
      <c r="Q478" t="s">
        <v>27</v>
      </c>
      <c r="R478" t="s">
        <v>77</v>
      </c>
      <c r="S478">
        <v>3</v>
      </c>
    </row>
    <row r="479" spans="1:19">
      <c r="A479" t="s">
        <v>813</v>
      </c>
      <c r="B479" s="2">
        <v>46030</v>
      </c>
      <c r="C479" t="s">
        <v>422</v>
      </c>
      <c r="D479" t="s">
        <v>423</v>
      </c>
      <c r="E479" t="s">
        <v>22</v>
      </c>
      <c r="F479">
        <v>26</v>
      </c>
      <c r="G479" t="s">
        <v>141</v>
      </c>
      <c r="H479" t="s">
        <v>142</v>
      </c>
      <c r="I479" t="s">
        <v>35</v>
      </c>
      <c r="J479" t="s">
        <v>136</v>
      </c>
      <c r="K479">
        <v>1</v>
      </c>
      <c r="L479">
        <v>799</v>
      </c>
      <c r="M479" s="3">
        <v>0.15</v>
      </c>
      <c r="N479">
        <v>679.15</v>
      </c>
      <c r="O479">
        <v>450</v>
      </c>
      <c r="P479">
        <v>229.15</v>
      </c>
      <c r="Q479" t="s">
        <v>50</v>
      </c>
      <c r="R479" t="s">
        <v>28</v>
      </c>
      <c r="S479">
        <v>2</v>
      </c>
    </row>
    <row r="480" spans="1:19">
      <c r="A480" t="s">
        <v>814</v>
      </c>
      <c r="B480" s="2">
        <v>45821</v>
      </c>
      <c r="C480" t="s">
        <v>553</v>
      </c>
      <c r="D480" t="s">
        <v>554</v>
      </c>
      <c r="E480" t="s">
        <v>22</v>
      </c>
      <c r="F480">
        <v>54</v>
      </c>
      <c r="G480" t="s">
        <v>23</v>
      </c>
      <c r="H480" t="s">
        <v>24</v>
      </c>
      <c r="I480" t="s">
        <v>35</v>
      </c>
      <c r="J480" t="s">
        <v>108</v>
      </c>
      <c r="K480">
        <v>2</v>
      </c>
      <c r="L480">
        <v>699</v>
      </c>
      <c r="M480" s="3">
        <v>0.15</v>
      </c>
      <c r="N480">
        <v>1188.3</v>
      </c>
      <c r="O480">
        <v>760</v>
      </c>
      <c r="P480">
        <v>428.3</v>
      </c>
      <c r="Q480" t="s">
        <v>27</v>
      </c>
      <c r="R480" t="s">
        <v>28</v>
      </c>
      <c r="S480">
        <v>5</v>
      </c>
    </row>
    <row r="481" spans="1:19">
      <c r="A481" t="s">
        <v>815</v>
      </c>
      <c r="B481" s="2">
        <v>45699</v>
      </c>
      <c r="C481" t="s">
        <v>354</v>
      </c>
      <c r="D481" t="s">
        <v>339</v>
      </c>
      <c r="E481" t="s">
        <v>32</v>
      </c>
      <c r="F481">
        <v>25</v>
      </c>
      <c r="G481" t="s">
        <v>115</v>
      </c>
      <c r="H481" t="s">
        <v>116</v>
      </c>
      <c r="I481" t="s">
        <v>117</v>
      </c>
      <c r="J481" t="s">
        <v>152</v>
      </c>
      <c r="K481">
        <v>4</v>
      </c>
      <c r="L481">
        <v>899</v>
      </c>
      <c r="M481" s="3">
        <v>0.1</v>
      </c>
      <c r="N481">
        <v>3236.4</v>
      </c>
      <c r="O481">
        <v>2000</v>
      </c>
      <c r="P481">
        <v>1236.4000000000001</v>
      </c>
      <c r="Q481" t="s">
        <v>27</v>
      </c>
      <c r="R481" t="s">
        <v>28</v>
      </c>
      <c r="S481">
        <v>2</v>
      </c>
    </row>
    <row r="482" spans="1:19">
      <c r="A482" t="s">
        <v>816</v>
      </c>
      <c r="B482" s="2">
        <v>45701</v>
      </c>
      <c r="C482" t="s">
        <v>817</v>
      </c>
      <c r="D482" t="s">
        <v>818</v>
      </c>
      <c r="E482" t="s">
        <v>22</v>
      </c>
      <c r="F482">
        <v>38</v>
      </c>
      <c r="G482" t="s">
        <v>41</v>
      </c>
      <c r="H482" t="s">
        <v>42</v>
      </c>
      <c r="I482" t="s">
        <v>43</v>
      </c>
      <c r="J482" t="s">
        <v>197</v>
      </c>
      <c r="K482">
        <v>3</v>
      </c>
      <c r="L482">
        <v>1799</v>
      </c>
      <c r="M482" s="3">
        <v>0.05</v>
      </c>
      <c r="N482">
        <v>5127.1499999999996</v>
      </c>
      <c r="O482">
        <v>3150</v>
      </c>
      <c r="P482">
        <v>1977.15</v>
      </c>
      <c r="Q482" t="s">
        <v>27</v>
      </c>
      <c r="R482" t="s">
        <v>28</v>
      </c>
      <c r="S482">
        <v>3</v>
      </c>
    </row>
    <row r="483" spans="1:19">
      <c r="A483" t="s">
        <v>819</v>
      </c>
      <c r="B483" s="2">
        <v>45698</v>
      </c>
      <c r="C483" t="s">
        <v>527</v>
      </c>
      <c r="D483" t="s">
        <v>528</v>
      </c>
      <c r="E483" t="s">
        <v>22</v>
      </c>
      <c r="F483">
        <v>36</v>
      </c>
      <c r="G483" t="s">
        <v>93</v>
      </c>
      <c r="H483" t="s">
        <v>94</v>
      </c>
      <c r="I483" t="s">
        <v>35</v>
      </c>
      <c r="J483" t="s">
        <v>36</v>
      </c>
      <c r="K483">
        <v>4</v>
      </c>
      <c r="L483">
        <v>599</v>
      </c>
      <c r="M483" s="3">
        <v>0</v>
      </c>
      <c r="N483">
        <v>2396</v>
      </c>
      <c r="O483">
        <v>1280</v>
      </c>
      <c r="P483">
        <v>1116</v>
      </c>
      <c r="Q483" t="s">
        <v>37</v>
      </c>
      <c r="R483" t="s">
        <v>28</v>
      </c>
      <c r="S483">
        <v>5</v>
      </c>
    </row>
    <row r="484" spans="1:19">
      <c r="A484" t="s">
        <v>820</v>
      </c>
      <c r="B484" s="2">
        <v>46215</v>
      </c>
      <c r="C484" t="s">
        <v>648</v>
      </c>
      <c r="D484" t="s">
        <v>649</v>
      </c>
      <c r="E484" t="s">
        <v>32</v>
      </c>
      <c r="F484">
        <v>34</v>
      </c>
      <c r="G484" t="s">
        <v>23</v>
      </c>
      <c r="H484" t="s">
        <v>24</v>
      </c>
      <c r="I484" t="s">
        <v>117</v>
      </c>
      <c r="J484" t="s">
        <v>152</v>
      </c>
      <c r="K484">
        <v>3</v>
      </c>
      <c r="L484">
        <v>899</v>
      </c>
      <c r="M484" s="3">
        <v>0.2</v>
      </c>
      <c r="N484">
        <v>2157.6</v>
      </c>
      <c r="O484">
        <v>1500</v>
      </c>
      <c r="P484">
        <v>657.6</v>
      </c>
      <c r="Q484" t="s">
        <v>50</v>
      </c>
      <c r="R484" t="s">
        <v>28</v>
      </c>
      <c r="S484">
        <v>4</v>
      </c>
    </row>
    <row r="485" spans="1:19">
      <c r="A485" t="s">
        <v>821</v>
      </c>
      <c r="B485" s="2">
        <v>45915</v>
      </c>
      <c r="C485" t="s">
        <v>663</v>
      </c>
      <c r="D485" t="s">
        <v>382</v>
      </c>
      <c r="E485" t="s">
        <v>32</v>
      </c>
      <c r="F485">
        <v>53</v>
      </c>
      <c r="G485" t="s">
        <v>73</v>
      </c>
      <c r="H485" t="s">
        <v>74</v>
      </c>
      <c r="I485" t="s">
        <v>75</v>
      </c>
      <c r="J485" t="s">
        <v>86</v>
      </c>
      <c r="K485">
        <v>1</v>
      </c>
      <c r="L485">
        <v>499</v>
      </c>
      <c r="M485" s="3">
        <v>0.2</v>
      </c>
      <c r="N485">
        <v>399.2</v>
      </c>
      <c r="O485">
        <v>300</v>
      </c>
      <c r="P485">
        <v>99.2</v>
      </c>
      <c r="Q485" t="s">
        <v>66</v>
      </c>
      <c r="R485" t="s">
        <v>51</v>
      </c>
      <c r="S485">
        <v>2</v>
      </c>
    </row>
    <row r="486" spans="1:19">
      <c r="A486" t="s">
        <v>822</v>
      </c>
      <c r="B486" s="2">
        <v>46156</v>
      </c>
      <c r="C486" t="s">
        <v>351</v>
      </c>
      <c r="D486" t="s">
        <v>352</v>
      </c>
      <c r="E486" t="s">
        <v>32</v>
      </c>
      <c r="F486">
        <v>41</v>
      </c>
      <c r="G486" t="s">
        <v>73</v>
      </c>
      <c r="H486" t="s">
        <v>74</v>
      </c>
      <c r="I486" t="s">
        <v>163</v>
      </c>
      <c r="J486" t="s">
        <v>290</v>
      </c>
      <c r="K486">
        <v>3</v>
      </c>
      <c r="L486">
        <v>1999</v>
      </c>
      <c r="M486" s="3">
        <v>0.1</v>
      </c>
      <c r="N486">
        <v>5397.3</v>
      </c>
      <c r="O486">
        <v>3600</v>
      </c>
      <c r="P486">
        <v>1797.3</v>
      </c>
      <c r="Q486" t="s">
        <v>66</v>
      </c>
      <c r="R486" t="s">
        <v>77</v>
      </c>
      <c r="S486">
        <v>1</v>
      </c>
    </row>
    <row r="487" spans="1:19">
      <c r="A487" t="s">
        <v>823</v>
      </c>
      <c r="B487" s="2">
        <v>45893</v>
      </c>
      <c r="C487" t="s">
        <v>304</v>
      </c>
      <c r="D487" t="s">
        <v>305</v>
      </c>
      <c r="E487" t="s">
        <v>32</v>
      </c>
      <c r="F487">
        <v>32</v>
      </c>
      <c r="G487" t="s">
        <v>146</v>
      </c>
      <c r="H487" t="s">
        <v>61</v>
      </c>
      <c r="I487" t="s">
        <v>25</v>
      </c>
      <c r="J487" t="s">
        <v>62</v>
      </c>
      <c r="K487">
        <v>4</v>
      </c>
      <c r="L487">
        <v>1299</v>
      </c>
      <c r="M487" s="3">
        <v>0.05</v>
      </c>
      <c r="N487">
        <v>4936.2</v>
      </c>
      <c r="O487">
        <v>3200</v>
      </c>
      <c r="P487">
        <v>1736.2</v>
      </c>
      <c r="Q487" t="s">
        <v>69</v>
      </c>
      <c r="R487" t="s">
        <v>28</v>
      </c>
      <c r="S487">
        <v>3</v>
      </c>
    </row>
    <row r="488" spans="1:19">
      <c r="A488" t="s">
        <v>824</v>
      </c>
      <c r="B488" s="2">
        <v>46028</v>
      </c>
      <c r="C488" t="s">
        <v>585</v>
      </c>
      <c r="D488" t="s">
        <v>586</v>
      </c>
      <c r="E488" t="s">
        <v>32</v>
      </c>
      <c r="F488">
        <v>31</v>
      </c>
      <c r="G488" t="s">
        <v>48</v>
      </c>
      <c r="H488" t="s">
        <v>42</v>
      </c>
      <c r="I488" t="s">
        <v>25</v>
      </c>
      <c r="J488" t="s">
        <v>62</v>
      </c>
      <c r="K488">
        <v>2</v>
      </c>
      <c r="L488">
        <v>1299</v>
      </c>
      <c r="M488" s="3">
        <v>0.05</v>
      </c>
      <c r="N488">
        <v>2468.1</v>
      </c>
      <c r="O488">
        <v>1600</v>
      </c>
      <c r="P488">
        <v>868.1</v>
      </c>
      <c r="Q488" t="s">
        <v>50</v>
      </c>
      <c r="R488" t="s">
        <v>28</v>
      </c>
      <c r="S488">
        <v>1</v>
      </c>
    </row>
    <row r="489" spans="1:19">
      <c r="A489" t="s">
        <v>825</v>
      </c>
      <c r="B489" s="2">
        <v>46151</v>
      </c>
      <c r="C489" t="s">
        <v>183</v>
      </c>
      <c r="D489" t="s">
        <v>184</v>
      </c>
      <c r="E489" t="s">
        <v>22</v>
      </c>
      <c r="F489">
        <v>43</v>
      </c>
      <c r="G489" t="s">
        <v>60</v>
      </c>
      <c r="H489" t="s">
        <v>61</v>
      </c>
      <c r="I489" t="s">
        <v>163</v>
      </c>
      <c r="J489" t="s">
        <v>234</v>
      </c>
      <c r="K489">
        <v>3</v>
      </c>
      <c r="L489">
        <v>999</v>
      </c>
      <c r="M489" s="3">
        <v>0</v>
      </c>
      <c r="N489">
        <v>2997</v>
      </c>
      <c r="O489">
        <v>1800</v>
      </c>
      <c r="P489">
        <v>1197</v>
      </c>
      <c r="Q489" t="s">
        <v>66</v>
      </c>
      <c r="R489" t="s">
        <v>28</v>
      </c>
      <c r="S489">
        <v>5</v>
      </c>
    </row>
    <row r="490" spans="1:19">
      <c r="A490" t="s">
        <v>826</v>
      </c>
      <c r="B490" s="2">
        <v>45907</v>
      </c>
      <c r="C490" t="s">
        <v>676</v>
      </c>
      <c r="D490" t="s">
        <v>293</v>
      </c>
      <c r="E490" t="s">
        <v>22</v>
      </c>
      <c r="F490">
        <v>35</v>
      </c>
      <c r="G490" t="s">
        <v>23</v>
      </c>
      <c r="H490" t="s">
        <v>24</v>
      </c>
      <c r="I490" t="s">
        <v>75</v>
      </c>
      <c r="J490" t="s">
        <v>76</v>
      </c>
      <c r="K490">
        <v>4</v>
      </c>
      <c r="L490">
        <v>399</v>
      </c>
      <c r="M490" s="3">
        <v>0</v>
      </c>
      <c r="N490">
        <v>1596</v>
      </c>
      <c r="O490">
        <v>880</v>
      </c>
      <c r="P490">
        <v>716</v>
      </c>
      <c r="Q490" t="s">
        <v>69</v>
      </c>
      <c r="R490" t="s">
        <v>28</v>
      </c>
      <c r="S490">
        <v>5</v>
      </c>
    </row>
    <row r="491" spans="1:19">
      <c r="A491" t="s">
        <v>827</v>
      </c>
      <c r="B491" s="2">
        <v>45808</v>
      </c>
      <c r="C491" t="s">
        <v>676</v>
      </c>
      <c r="D491" t="s">
        <v>293</v>
      </c>
      <c r="E491" t="s">
        <v>22</v>
      </c>
      <c r="F491">
        <v>35</v>
      </c>
      <c r="G491" t="s">
        <v>23</v>
      </c>
      <c r="H491" t="s">
        <v>24</v>
      </c>
      <c r="I491" t="s">
        <v>25</v>
      </c>
      <c r="J491" t="s">
        <v>62</v>
      </c>
      <c r="K491">
        <v>1</v>
      </c>
      <c r="L491">
        <v>1299</v>
      </c>
      <c r="M491" s="3">
        <v>0.2</v>
      </c>
      <c r="N491">
        <v>1039.2</v>
      </c>
      <c r="O491">
        <v>800</v>
      </c>
      <c r="P491">
        <v>239.2</v>
      </c>
      <c r="Q491" t="s">
        <v>69</v>
      </c>
      <c r="R491" t="s">
        <v>28</v>
      </c>
      <c r="S491">
        <v>2</v>
      </c>
    </row>
    <row r="492" spans="1:19">
      <c r="A492" t="s">
        <v>828</v>
      </c>
      <c r="B492" s="2">
        <v>45745</v>
      </c>
      <c r="C492" t="s">
        <v>351</v>
      </c>
      <c r="D492" t="s">
        <v>352</v>
      </c>
      <c r="E492" t="s">
        <v>32</v>
      </c>
      <c r="F492">
        <v>41</v>
      </c>
      <c r="G492" t="s">
        <v>73</v>
      </c>
      <c r="H492" t="s">
        <v>74</v>
      </c>
      <c r="I492" t="s">
        <v>163</v>
      </c>
      <c r="J492" t="s">
        <v>290</v>
      </c>
      <c r="K492">
        <v>1</v>
      </c>
      <c r="L492">
        <v>1999</v>
      </c>
      <c r="M492" s="3">
        <v>0.1</v>
      </c>
      <c r="N492">
        <v>1799.1</v>
      </c>
      <c r="O492">
        <v>1200</v>
      </c>
      <c r="P492">
        <v>599.1</v>
      </c>
      <c r="Q492" t="s">
        <v>27</v>
      </c>
      <c r="R492" t="s">
        <v>28</v>
      </c>
      <c r="S492">
        <v>4</v>
      </c>
    </row>
    <row r="493" spans="1:19">
      <c r="A493" t="s">
        <v>829</v>
      </c>
      <c r="B493" s="2">
        <v>45804</v>
      </c>
      <c r="C493" t="s">
        <v>148</v>
      </c>
      <c r="D493" t="s">
        <v>47</v>
      </c>
      <c r="E493" t="s">
        <v>22</v>
      </c>
      <c r="F493">
        <v>23</v>
      </c>
      <c r="G493" t="s">
        <v>93</v>
      </c>
      <c r="H493" t="s">
        <v>94</v>
      </c>
      <c r="I493" t="s">
        <v>43</v>
      </c>
      <c r="J493" t="s">
        <v>95</v>
      </c>
      <c r="K493">
        <v>2</v>
      </c>
      <c r="L493">
        <v>2499</v>
      </c>
      <c r="M493" s="3">
        <v>0.15</v>
      </c>
      <c r="N493">
        <v>4248.3</v>
      </c>
      <c r="O493">
        <v>3000</v>
      </c>
      <c r="P493">
        <v>1248.3</v>
      </c>
      <c r="Q493" t="s">
        <v>50</v>
      </c>
      <c r="R493" t="s">
        <v>137</v>
      </c>
      <c r="S493">
        <v>2</v>
      </c>
    </row>
    <row r="494" spans="1:19">
      <c r="A494" t="s">
        <v>830</v>
      </c>
      <c r="B494" s="2">
        <v>46122</v>
      </c>
      <c r="C494" t="s">
        <v>150</v>
      </c>
      <c r="D494" t="s">
        <v>151</v>
      </c>
      <c r="E494" t="s">
        <v>22</v>
      </c>
      <c r="F494">
        <v>33</v>
      </c>
      <c r="G494" t="s">
        <v>81</v>
      </c>
      <c r="H494" t="s">
        <v>82</v>
      </c>
      <c r="I494" t="s">
        <v>43</v>
      </c>
      <c r="J494" t="s">
        <v>197</v>
      </c>
      <c r="K494">
        <v>2</v>
      </c>
      <c r="L494">
        <v>1799</v>
      </c>
      <c r="M494" s="3">
        <v>0.1</v>
      </c>
      <c r="N494">
        <v>3238.2</v>
      </c>
      <c r="O494">
        <v>2100</v>
      </c>
      <c r="P494">
        <v>1138.2</v>
      </c>
      <c r="Q494" t="s">
        <v>50</v>
      </c>
      <c r="R494" t="s">
        <v>28</v>
      </c>
      <c r="S494">
        <v>2</v>
      </c>
    </row>
    <row r="495" spans="1:19">
      <c r="A495" t="s">
        <v>831</v>
      </c>
      <c r="B495" s="2">
        <v>45674</v>
      </c>
      <c r="C495" t="s">
        <v>516</v>
      </c>
      <c r="D495" t="s">
        <v>449</v>
      </c>
      <c r="E495" t="s">
        <v>22</v>
      </c>
      <c r="F495">
        <v>45</v>
      </c>
      <c r="G495" t="s">
        <v>41</v>
      </c>
      <c r="H495" t="s">
        <v>42</v>
      </c>
      <c r="I495" t="s">
        <v>163</v>
      </c>
      <c r="J495" t="s">
        <v>290</v>
      </c>
      <c r="K495">
        <v>2</v>
      </c>
      <c r="L495">
        <v>1999</v>
      </c>
      <c r="M495" s="3">
        <v>0</v>
      </c>
      <c r="N495">
        <v>3998</v>
      </c>
      <c r="O495">
        <v>2400</v>
      </c>
      <c r="P495">
        <v>1598</v>
      </c>
      <c r="Q495" t="s">
        <v>27</v>
      </c>
      <c r="R495" t="s">
        <v>28</v>
      </c>
      <c r="S495">
        <v>5</v>
      </c>
    </row>
    <row r="496" spans="1:19">
      <c r="A496" t="s">
        <v>832</v>
      </c>
      <c r="B496" s="2">
        <v>46145</v>
      </c>
      <c r="C496" t="s">
        <v>475</v>
      </c>
      <c r="D496" t="s">
        <v>476</v>
      </c>
      <c r="E496" t="s">
        <v>32</v>
      </c>
      <c r="F496">
        <v>51</v>
      </c>
      <c r="G496" t="s">
        <v>141</v>
      </c>
      <c r="H496" t="s">
        <v>142</v>
      </c>
      <c r="I496" t="s">
        <v>25</v>
      </c>
      <c r="J496" t="s">
        <v>62</v>
      </c>
      <c r="K496">
        <v>1</v>
      </c>
      <c r="L496">
        <v>1299</v>
      </c>
      <c r="M496" s="3">
        <v>0.05</v>
      </c>
      <c r="N496">
        <v>1234.05</v>
      </c>
      <c r="O496">
        <v>800</v>
      </c>
      <c r="P496">
        <v>434.05</v>
      </c>
      <c r="Q496" t="s">
        <v>50</v>
      </c>
      <c r="R496" t="s">
        <v>28</v>
      </c>
      <c r="S496">
        <v>5</v>
      </c>
    </row>
    <row r="497" spans="1:19">
      <c r="A497" t="s">
        <v>833</v>
      </c>
      <c r="B497" s="2">
        <v>45791</v>
      </c>
      <c r="C497" t="s">
        <v>304</v>
      </c>
      <c r="D497" t="s">
        <v>305</v>
      </c>
      <c r="E497" t="s">
        <v>32</v>
      </c>
      <c r="F497">
        <v>32</v>
      </c>
      <c r="G497" t="s">
        <v>146</v>
      </c>
      <c r="H497" t="s">
        <v>61</v>
      </c>
      <c r="I497" t="s">
        <v>25</v>
      </c>
      <c r="J497" t="s">
        <v>56</v>
      </c>
      <c r="K497">
        <v>1</v>
      </c>
      <c r="L497">
        <v>899</v>
      </c>
      <c r="M497" s="3">
        <v>0.15</v>
      </c>
      <c r="N497">
        <v>764.15</v>
      </c>
      <c r="O497">
        <v>550</v>
      </c>
      <c r="P497">
        <v>214.15</v>
      </c>
      <c r="Q497" t="s">
        <v>50</v>
      </c>
      <c r="R497" t="s">
        <v>28</v>
      </c>
      <c r="S497">
        <v>1</v>
      </c>
    </row>
    <row r="498" spans="1:19">
      <c r="A498" t="s">
        <v>834</v>
      </c>
      <c r="B498" s="2">
        <v>45702</v>
      </c>
      <c r="C498" t="s">
        <v>267</v>
      </c>
      <c r="D498" t="s">
        <v>268</v>
      </c>
      <c r="E498" t="s">
        <v>22</v>
      </c>
      <c r="F498">
        <v>35</v>
      </c>
      <c r="G498" t="s">
        <v>141</v>
      </c>
      <c r="H498" t="s">
        <v>142</v>
      </c>
      <c r="I498" t="s">
        <v>35</v>
      </c>
      <c r="J498" t="s">
        <v>108</v>
      </c>
      <c r="K498">
        <v>4</v>
      </c>
      <c r="L498">
        <v>699</v>
      </c>
      <c r="M498" s="3">
        <v>0.1</v>
      </c>
      <c r="N498">
        <v>2516.4</v>
      </c>
      <c r="O498">
        <v>1520</v>
      </c>
      <c r="P498">
        <v>996.4</v>
      </c>
      <c r="Q498" t="s">
        <v>50</v>
      </c>
      <c r="R498" t="s">
        <v>28</v>
      </c>
      <c r="S498">
        <v>4</v>
      </c>
    </row>
    <row r="499" spans="1:19">
      <c r="A499" t="s">
        <v>835</v>
      </c>
      <c r="B499" s="2">
        <v>45795</v>
      </c>
      <c r="C499" t="s">
        <v>192</v>
      </c>
      <c r="D499" t="s">
        <v>193</v>
      </c>
      <c r="E499" t="s">
        <v>32</v>
      </c>
      <c r="F499">
        <v>47</v>
      </c>
      <c r="G499" t="s">
        <v>93</v>
      </c>
      <c r="H499" t="s">
        <v>94</v>
      </c>
      <c r="I499" t="s">
        <v>163</v>
      </c>
      <c r="J499" t="s">
        <v>214</v>
      </c>
      <c r="K499">
        <v>1</v>
      </c>
      <c r="L499">
        <v>1499</v>
      </c>
      <c r="M499" s="3">
        <v>0.15</v>
      </c>
      <c r="N499">
        <v>1274.1500000000001</v>
      </c>
      <c r="O499">
        <v>900</v>
      </c>
      <c r="P499">
        <v>374.15</v>
      </c>
      <c r="Q499" t="s">
        <v>37</v>
      </c>
      <c r="R499" t="s">
        <v>28</v>
      </c>
      <c r="S499">
        <v>2</v>
      </c>
    </row>
    <row r="500" spans="1:19">
      <c r="A500" t="s">
        <v>836</v>
      </c>
      <c r="B500" s="2">
        <v>45851</v>
      </c>
      <c r="C500" t="s">
        <v>801</v>
      </c>
      <c r="D500" t="s">
        <v>225</v>
      </c>
      <c r="E500" t="s">
        <v>32</v>
      </c>
      <c r="F500">
        <v>55</v>
      </c>
      <c r="G500" t="s">
        <v>41</v>
      </c>
      <c r="H500" t="s">
        <v>42</v>
      </c>
      <c r="I500" t="s">
        <v>43</v>
      </c>
      <c r="J500" t="s">
        <v>44</v>
      </c>
      <c r="K500">
        <v>4</v>
      </c>
      <c r="L500">
        <v>1599</v>
      </c>
      <c r="M500" s="3">
        <v>0.1</v>
      </c>
      <c r="N500">
        <v>5756.4</v>
      </c>
      <c r="O500">
        <v>3800</v>
      </c>
      <c r="P500">
        <v>1956.4</v>
      </c>
      <c r="Q500" t="s">
        <v>69</v>
      </c>
      <c r="R500" t="s">
        <v>28</v>
      </c>
      <c r="S500">
        <v>1</v>
      </c>
    </row>
    <row r="501" spans="1:19">
      <c r="A501" t="s">
        <v>837</v>
      </c>
      <c r="B501" s="2">
        <v>45665</v>
      </c>
      <c r="C501" t="s">
        <v>71</v>
      </c>
      <c r="D501" t="s">
        <v>72</v>
      </c>
      <c r="E501" t="s">
        <v>32</v>
      </c>
      <c r="F501">
        <v>53</v>
      </c>
      <c r="G501" t="s">
        <v>73</v>
      </c>
      <c r="H501" t="s">
        <v>74</v>
      </c>
      <c r="I501" t="s">
        <v>35</v>
      </c>
      <c r="J501" t="s">
        <v>108</v>
      </c>
      <c r="K501">
        <v>1</v>
      </c>
      <c r="L501">
        <v>699</v>
      </c>
      <c r="M501" s="3">
        <v>0.2</v>
      </c>
      <c r="N501">
        <v>559.20000000000005</v>
      </c>
      <c r="O501">
        <v>380</v>
      </c>
      <c r="P501">
        <v>179.2</v>
      </c>
      <c r="Q501" t="s">
        <v>66</v>
      </c>
      <c r="R501" t="s">
        <v>28</v>
      </c>
      <c r="S501">
        <v>3</v>
      </c>
    </row>
    <row r="502" spans="1:19">
      <c r="A502" t="s">
        <v>838</v>
      </c>
      <c r="B502" s="2">
        <v>46094</v>
      </c>
      <c r="C502" t="s">
        <v>568</v>
      </c>
      <c r="D502" t="s">
        <v>569</v>
      </c>
      <c r="E502" t="s">
        <v>22</v>
      </c>
      <c r="F502">
        <v>18</v>
      </c>
      <c r="G502" t="s">
        <v>48</v>
      </c>
      <c r="H502" t="s">
        <v>42</v>
      </c>
      <c r="I502" t="s">
        <v>163</v>
      </c>
      <c r="J502" t="s">
        <v>214</v>
      </c>
      <c r="K502">
        <v>1</v>
      </c>
      <c r="L502">
        <v>1499</v>
      </c>
      <c r="M502" s="3">
        <v>0.05</v>
      </c>
      <c r="N502">
        <v>1424.05</v>
      </c>
      <c r="O502">
        <v>900</v>
      </c>
      <c r="P502">
        <v>524.04999999999995</v>
      </c>
      <c r="Q502" t="s">
        <v>50</v>
      </c>
      <c r="R502" t="s">
        <v>28</v>
      </c>
      <c r="S502">
        <v>5</v>
      </c>
    </row>
    <row r="503" spans="1:19">
      <c r="A503" t="s">
        <v>839</v>
      </c>
      <c r="B503" s="2">
        <v>45940</v>
      </c>
      <c r="C503" t="s">
        <v>100</v>
      </c>
      <c r="D503" t="s">
        <v>101</v>
      </c>
      <c r="E503" t="s">
        <v>32</v>
      </c>
      <c r="F503">
        <v>50</v>
      </c>
      <c r="G503" t="s">
        <v>55</v>
      </c>
      <c r="H503" t="s">
        <v>34</v>
      </c>
      <c r="I503" t="s">
        <v>75</v>
      </c>
      <c r="J503" t="s">
        <v>86</v>
      </c>
      <c r="K503">
        <v>3</v>
      </c>
      <c r="L503">
        <v>499</v>
      </c>
      <c r="M503" s="3">
        <v>0.2</v>
      </c>
      <c r="N503">
        <v>1197.5999999999999</v>
      </c>
      <c r="O503">
        <v>900</v>
      </c>
      <c r="P503">
        <v>297.60000000000002</v>
      </c>
      <c r="Q503" t="s">
        <v>66</v>
      </c>
      <c r="R503" t="s">
        <v>28</v>
      </c>
      <c r="S503">
        <v>4</v>
      </c>
    </row>
    <row r="504" spans="1:19">
      <c r="A504" t="s">
        <v>840</v>
      </c>
      <c r="B504" s="2">
        <v>46037</v>
      </c>
      <c r="C504" t="s">
        <v>705</v>
      </c>
      <c r="D504" t="s">
        <v>98</v>
      </c>
      <c r="E504" t="s">
        <v>32</v>
      </c>
      <c r="F504">
        <v>47</v>
      </c>
      <c r="G504" t="s">
        <v>141</v>
      </c>
      <c r="H504" t="s">
        <v>142</v>
      </c>
      <c r="I504" t="s">
        <v>35</v>
      </c>
      <c r="J504" t="s">
        <v>126</v>
      </c>
      <c r="K504">
        <v>4</v>
      </c>
      <c r="L504">
        <v>1499</v>
      </c>
      <c r="M504" s="3">
        <v>0.05</v>
      </c>
      <c r="N504">
        <v>5696.2</v>
      </c>
      <c r="O504">
        <v>3400</v>
      </c>
      <c r="P504">
        <v>2296.1999999999998</v>
      </c>
      <c r="Q504" t="s">
        <v>50</v>
      </c>
      <c r="R504" t="s">
        <v>28</v>
      </c>
      <c r="S504">
        <v>3</v>
      </c>
    </row>
    <row r="505" spans="1:19">
      <c r="A505" t="s">
        <v>841</v>
      </c>
      <c r="B505" s="2">
        <v>45799</v>
      </c>
      <c r="C505" t="s">
        <v>103</v>
      </c>
      <c r="D505" t="s">
        <v>104</v>
      </c>
      <c r="E505" t="s">
        <v>32</v>
      </c>
      <c r="F505">
        <v>27</v>
      </c>
      <c r="G505" t="s">
        <v>105</v>
      </c>
      <c r="H505" t="s">
        <v>105</v>
      </c>
      <c r="I505" t="s">
        <v>75</v>
      </c>
      <c r="J505" t="s">
        <v>86</v>
      </c>
      <c r="K505">
        <v>3</v>
      </c>
      <c r="L505">
        <v>499</v>
      </c>
      <c r="M505" s="3">
        <v>0.15</v>
      </c>
      <c r="N505">
        <v>1272.45</v>
      </c>
      <c r="O505">
        <v>900</v>
      </c>
      <c r="P505">
        <v>372.45</v>
      </c>
      <c r="Q505" t="s">
        <v>69</v>
      </c>
      <c r="R505" t="s">
        <v>28</v>
      </c>
      <c r="S505">
        <v>4</v>
      </c>
    </row>
    <row r="506" spans="1:19">
      <c r="A506" t="s">
        <v>842</v>
      </c>
      <c r="B506" s="2">
        <v>46068</v>
      </c>
      <c r="C506" t="s">
        <v>676</v>
      </c>
      <c r="D506" t="s">
        <v>293</v>
      </c>
      <c r="E506" t="s">
        <v>22</v>
      </c>
      <c r="F506">
        <v>35</v>
      </c>
      <c r="G506" t="s">
        <v>23</v>
      </c>
      <c r="H506" t="s">
        <v>24</v>
      </c>
      <c r="I506" t="s">
        <v>25</v>
      </c>
      <c r="J506" t="s">
        <v>56</v>
      </c>
      <c r="K506">
        <v>2</v>
      </c>
      <c r="L506">
        <v>899</v>
      </c>
      <c r="M506" s="3">
        <v>0.2</v>
      </c>
      <c r="N506">
        <v>1438.4</v>
      </c>
      <c r="O506">
        <v>1100</v>
      </c>
      <c r="P506">
        <v>338.4</v>
      </c>
      <c r="Q506" t="s">
        <v>37</v>
      </c>
      <c r="R506" t="s">
        <v>137</v>
      </c>
      <c r="S506">
        <v>1</v>
      </c>
    </row>
    <row r="507" spans="1:19">
      <c r="A507" t="s">
        <v>843</v>
      </c>
      <c r="B507" s="2">
        <v>45806</v>
      </c>
      <c r="C507" t="s">
        <v>676</v>
      </c>
      <c r="D507" t="s">
        <v>293</v>
      </c>
      <c r="E507" t="s">
        <v>22</v>
      </c>
      <c r="F507">
        <v>35</v>
      </c>
      <c r="G507" t="s">
        <v>23</v>
      </c>
      <c r="H507" t="s">
        <v>24</v>
      </c>
      <c r="I507" t="s">
        <v>163</v>
      </c>
      <c r="J507" t="s">
        <v>290</v>
      </c>
      <c r="K507">
        <v>1</v>
      </c>
      <c r="L507">
        <v>1999</v>
      </c>
      <c r="M507" s="3">
        <v>0</v>
      </c>
      <c r="N507">
        <v>1999</v>
      </c>
      <c r="O507">
        <v>1200</v>
      </c>
      <c r="P507">
        <v>799</v>
      </c>
      <c r="Q507" t="s">
        <v>66</v>
      </c>
      <c r="R507" t="s">
        <v>77</v>
      </c>
      <c r="S507">
        <v>4</v>
      </c>
    </row>
    <row r="508" spans="1:19">
      <c r="A508" t="s">
        <v>844</v>
      </c>
      <c r="B508" s="2">
        <v>46037</v>
      </c>
      <c r="C508" t="s">
        <v>692</v>
      </c>
      <c r="D508" t="s">
        <v>343</v>
      </c>
      <c r="E508" t="s">
        <v>22</v>
      </c>
      <c r="F508">
        <v>50</v>
      </c>
      <c r="G508" t="s">
        <v>48</v>
      </c>
      <c r="H508" t="s">
        <v>42</v>
      </c>
      <c r="I508" t="s">
        <v>25</v>
      </c>
      <c r="J508" t="s">
        <v>26</v>
      </c>
      <c r="K508">
        <v>3</v>
      </c>
      <c r="L508">
        <v>2499</v>
      </c>
      <c r="M508" s="3">
        <v>0.05</v>
      </c>
      <c r="N508">
        <v>7122.15</v>
      </c>
      <c r="O508">
        <v>4800</v>
      </c>
      <c r="P508">
        <v>2322.15</v>
      </c>
      <c r="Q508" t="s">
        <v>69</v>
      </c>
      <c r="R508" t="s">
        <v>28</v>
      </c>
      <c r="S508">
        <v>4</v>
      </c>
    </row>
    <row r="509" spans="1:19">
      <c r="A509" t="s">
        <v>845</v>
      </c>
      <c r="B509" s="2">
        <v>45716</v>
      </c>
      <c r="C509" t="s">
        <v>124</v>
      </c>
      <c r="D509" t="s">
        <v>125</v>
      </c>
      <c r="E509" t="s">
        <v>32</v>
      </c>
      <c r="F509">
        <v>22</v>
      </c>
      <c r="G509" t="s">
        <v>48</v>
      </c>
      <c r="H509" t="s">
        <v>42</v>
      </c>
      <c r="I509" t="s">
        <v>75</v>
      </c>
      <c r="J509" t="s">
        <v>106</v>
      </c>
      <c r="K509">
        <v>3</v>
      </c>
      <c r="L509">
        <v>899</v>
      </c>
      <c r="M509" s="3">
        <v>0.2</v>
      </c>
      <c r="N509">
        <v>2157.6</v>
      </c>
      <c r="O509">
        <v>1800</v>
      </c>
      <c r="P509">
        <v>357.6</v>
      </c>
      <c r="Q509" t="s">
        <v>27</v>
      </c>
      <c r="R509" t="s">
        <v>28</v>
      </c>
      <c r="S509">
        <v>4</v>
      </c>
    </row>
    <row r="510" spans="1:19">
      <c r="A510" t="s">
        <v>846</v>
      </c>
      <c r="B510" s="2">
        <v>45692</v>
      </c>
      <c r="C510" t="s">
        <v>847</v>
      </c>
      <c r="D510" t="s">
        <v>135</v>
      </c>
      <c r="E510" t="s">
        <v>32</v>
      </c>
      <c r="F510">
        <v>20</v>
      </c>
      <c r="G510" t="s">
        <v>81</v>
      </c>
      <c r="H510" t="s">
        <v>82</v>
      </c>
      <c r="I510" t="s">
        <v>43</v>
      </c>
      <c r="J510" t="s">
        <v>49</v>
      </c>
      <c r="K510">
        <v>3</v>
      </c>
      <c r="L510">
        <v>799</v>
      </c>
      <c r="M510" s="3">
        <v>0.05</v>
      </c>
      <c r="N510">
        <v>2277.15</v>
      </c>
      <c r="O510">
        <v>1350</v>
      </c>
      <c r="P510">
        <v>927.15</v>
      </c>
      <c r="Q510" t="s">
        <v>50</v>
      </c>
      <c r="R510" t="s">
        <v>28</v>
      </c>
      <c r="S510">
        <v>2</v>
      </c>
    </row>
    <row r="511" spans="1:19">
      <c r="A511" t="s">
        <v>848</v>
      </c>
      <c r="B511" s="2">
        <v>45902</v>
      </c>
      <c r="C511" t="s">
        <v>407</v>
      </c>
      <c r="D511" t="s">
        <v>408</v>
      </c>
      <c r="E511" t="s">
        <v>32</v>
      </c>
      <c r="F511">
        <v>44</v>
      </c>
      <c r="G511" t="s">
        <v>48</v>
      </c>
      <c r="H511" t="s">
        <v>42</v>
      </c>
      <c r="I511" t="s">
        <v>117</v>
      </c>
      <c r="J511" t="s">
        <v>118</v>
      </c>
      <c r="K511">
        <v>1</v>
      </c>
      <c r="L511">
        <v>999</v>
      </c>
      <c r="M511" s="3">
        <v>0.1</v>
      </c>
      <c r="N511">
        <v>899.1</v>
      </c>
      <c r="O511">
        <v>550</v>
      </c>
      <c r="P511">
        <v>349.1</v>
      </c>
      <c r="Q511" t="s">
        <v>69</v>
      </c>
      <c r="R511" t="s">
        <v>51</v>
      </c>
      <c r="S511">
        <v>1</v>
      </c>
    </row>
    <row r="512" spans="1:19">
      <c r="A512" t="s">
        <v>849</v>
      </c>
      <c r="B512" s="2">
        <v>46073</v>
      </c>
      <c r="C512" t="s">
        <v>648</v>
      </c>
      <c r="D512" t="s">
        <v>649</v>
      </c>
      <c r="E512" t="s">
        <v>32</v>
      </c>
      <c r="F512">
        <v>34</v>
      </c>
      <c r="G512" t="s">
        <v>23</v>
      </c>
      <c r="H512" t="s">
        <v>24</v>
      </c>
      <c r="I512" t="s">
        <v>163</v>
      </c>
      <c r="J512" t="s">
        <v>290</v>
      </c>
      <c r="K512">
        <v>3</v>
      </c>
      <c r="L512">
        <v>1999</v>
      </c>
      <c r="M512" s="3">
        <v>0.15</v>
      </c>
      <c r="N512">
        <v>5097.45</v>
      </c>
      <c r="O512">
        <v>3600</v>
      </c>
      <c r="P512">
        <v>1497.45</v>
      </c>
      <c r="Q512" t="s">
        <v>50</v>
      </c>
      <c r="R512" t="s">
        <v>28</v>
      </c>
      <c r="S512">
        <v>1</v>
      </c>
    </row>
    <row r="513" spans="1:19">
      <c r="A513" t="s">
        <v>850</v>
      </c>
      <c r="B513" s="2">
        <v>46254</v>
      </c>
      <c r="C513" t="s">
        <v>670</v>
      </c>
      <c r="D513" t="s">
        <v>671</v>
      </c>
      <c r="E513" t="s">
        <v>22</v>
      </c>
      <c r="F513">
        <v>38</v>
      </c>
      <c r="G513" t="s">
        <v>180</v>
      </c>
      <c r="H513" t="s">
        <v>181</v>
      </c>
      <c r="I513" t="s">
        <v>25</v>
      </c>
      <c r="J513" t="s">
        <v>26</v>
      </c>
      <c r="K513">
        <v>3</v>
      </c>
      <c r="L513">
        <v>2499</v>
      </c>
      <c r="M513" s="3">
        <v>0.2</v>
      </c>
      <c r="N513">
        <v>5997.6</v>
      </c>
      <c r="O513">
        <v>4800</v>
      </c>
      <c r="P513">
        <v>1197.5999999999999</v>
      </c>
      <c r="Q513" t="s">
        <v>37</v>
      </c>
      <c r="R513" t="s">
        <v>28</v>
      </c>
      <c r="S513">
        <v>3</v>
      </c>
    </row>
    <row r="514" spans="1:19">
      <c r="A514" t="s">
        <v>851</v>
      </c>
      <c r="B514" s="2">
        <v>46071</v>
      </c>
      <c r="C514" t="s">
        <v>479</v>
      </c>
      <c r="D514" t="s">
        <v>480</v>
      </c>
      <c r="E514" t="s">
        <v>22</v>
      </c>
      <c r="F514">
        <v>29</v>
      </c>
      <c r="G514" t="s">
        <v>146</v>
      </c>
      <c r="H514" t="s">
        <v>61</v>
      </c>
      <c r="I514" t="s">
        <v>75</v>
      </c>
      <c r="J514" t="s">
        <v>106</v>
      </c>
      <c r="K514">
        <v>2</v>
      </c>
      <c r="L514">
        <v>899</v>
      </c>
      <c r="M514" s="3">
        <v>0.15</v>
      </c>
      <c r="N514">
        <v>1528.3</v>
      </c>
      <c r="O514">
        <v>1200</v>
      </c>
      <c r="P514">
        <v>328.3</v>
      </c>
      <c r="Q514" t="s">
        <v>50</v>
      </c>
      <c r="R514" t="s">
        <v>28</v>
      </c>
      <c r="S514">
        <v>2</v>
      </c>
    </row>
    <row r="515" spans="1:19">
      <c r="A515" t="s">
        <v>852</v>
      </c>
      <c r="B515" s="2">
        <v>45732</v>
      </c>
      <c r="C515" t="s">
        <v>568</v>
      </c>
      <c r="D515" t="s">
        <v>569</v>
      </c>
      <c r="E515" t="s">
        <v>22</v>
      </c>
      <c r="F515">
        <v>18</v>
      </c>
      <c r="G515" t="s">
        <v>48</v>
      </c>
      <c r="H515" t="s">
        <v>42</v>
      </c>
      <c r="I515" t="s">
        <v>35</v>
      </c>
      <c r="J515" t="s">
        <v>108</v>
      </c>
      <c r="K515">
        <v>1</v>
      </c>
      <c r="L515">
        <v>699</v>
      </c>
      <c r="M515" s="3">
        <v>0.2</v>
      </c>
      <c r="N515">
        <v>559.20000000000005</v>
      </c>
      <c r="O515">
        <v>380</v>
      </c>
      <c r="P515">
        <v>179.2</v>
      </c>
      <c r="Q515" t="s">
        <v>50</v>
      </c>
      <c r="R515" t="s">
        <v>28</v>
      </c>
      <c r="S515">
        <v>1</v>
      </c>
    </row>
    <row r="516" spans="1:19">
      <c r="A516" t="s">
        <v>853</v>
      </c>
      <c r="B516" s="2">
        <v>46044</v>
      </c>
      <c r="C516" t="s">
        <v>365</v>
      </c>
      <c r="D516" t="s">
        <v>366</v>
      </c>
      <c r="E516" t="s">
        <v>22</v>
      </c>
      <c r="F516">
        <v>54</v>
      </c>
      <c r="G516" t="s">
        <v>93</v>
      </c>
      <c r="H516" t="s">
        <v>94</v>
      </c>
      <c r="I516" t="s">
        <v>43</v>
      </c>
      <c r="J516" t="s">
        <v>197</v>
      </c>
      <c r="K516">
        <v>3</v>
      </c>
      <c r="L516">
        <v>1799</v>
      </c>
      <c r="M516" s="3">
        <v>0.15</v>
      </c>
      <c r="N516">
        <v>4587.45</v>
      </c>
      <c r="O516">
        <v>3150</v>
      </c>
      <c r="P516">
        <v>1437.45</v>
      </c>
      <c r="Q516" t="s">
        <v>50</v>
      </c>
      <c r="R516" t="s">
        <v>28</v>
      </c>
      <c r="S516">
        <v>2</v>
      </c>
    </row>
    <row r="517" spans="1:19">
      <c r="A517" t="s">
        <v>854</v>
      </c>
      <c r="B517" s="2">
        <v>45686</v>
      </c>
      <c r="C517" t="s">
        <v>175</v>
      </c>
      <c r="D517" t="s">
        <v>176</v>
      </c>
      <c r="E517" t="s">
        <v>32</v>
      </c>
      <c r="F517">
        <v>29</v>
      </c>
      <c r="G517" t="s">
        <v>60</v>
      </c>
      <c r="H517" t="s">
        <v>61</v>
      </c>
      <c r="I517" t="s">
        <v>35</v>
      </c>
      <c r="J517" t="s">
        <v>136</v>
      </c>
      <c r="K517">
        <v>4</v>
      </c>
      <c r="L517">
        <v>799</v>
      </c>
      <c r="M517" s="3">
        <v>0.2</v>
      </c>
      <c r="N517">
        <v>2556.8000000000002</v>
      </c>
      <c r="O517">
        <v>1800</v>
      </c>
      <c r="P517">
        <v>756.8</v>
      </c>
      <c r="Q517" t="s">
        <v>66</v>
      </c>
      <c r="R517" t="s">
        <v>28</v>
      </c>
      <c r="S517">
        <v>1</v>
      </c>
    </row>
    <row r="518" spans="1:19">
      <c r="A518" t="s">
        <v>855</v>
      </c>
      <c r="B518" s="2">
        <v>45981</v>
      </c>
      <c r="C518" t="s">
        <v>192</v>
      </c>
      <c r="D518" t="s">
        <v>193</v>
      </c>
      <c r="E518" t="s">
        <v>32</v>
      </c>
      <c r="F518">
        <v>47</v>
      </c>
      <c r="G518" t="s">
        <v>93</v>
      </c>
      <c r="H518" t="s">
        <v>94</v>
      </c>
      <c r="I518" t="s">
        <v>75</v>
      </c>
      <c r="J518" t="s">
        <v>76</v>
      </c>
      <c r="K518">
        <v>2</v>
      </c>
      <c r="L518">
        <v>399</v>
      </c>
      <c r="M518" s="3">
        <v>0.05</v>
      </c>
      <c r="N518">
        <v>758.1</v>
      </c>
      <c r="O518">
        <v>440</v>
      </c>
      <c r="P518">
        <v>318.10000000000002</v>
      </c>
      <c r="Q518" t="s">
        <v>66</v>
      </c>
      <c r="R518" t="s">
        <v>51</v>
      </c>
      <c r="S518">
        <v>5</v>
      </c>
    </row>
    <row r="519" spans="1:19">
      <c r="A519" t="s">
        <v>856</v>
      </c>
      <c r="B519" s="2">
        <v>45952</v>
      </c>
      <c r="C519" t="s">
        <v>467</v>
      </c>
      <c r="D519" t="s">
        <v>322</v>
      </c>
      <c r="E519" t="s">
        <v>32</v>
      </c>
      <c r="F519">
        <v>41</v>
      </c>
      <c r="G519" t="s">
        <v>55</v>
      </c>
      <c r="H519" t="s">
        <v>34</v>
      </c>
      <c r="I519" t="s">
        <v>25</v>
      </c>
      <c r="J519" t="s">
        <v>156</v>
      </c>
      <c r="K519">
        <v>3</v>
      </c>
      <c r="L519">
        <v>1999</v>
      </c>
      <c r="M519" s="3">
        <v>0.05</v>
      </c>
      <c r="N519">
        <v>5697.15</v>
      </c>
      <c r="O519">
        <v>3900</v>
      </c>
      <c r="P519">
        <v>1797.15</v>
      </c>
      <c r="Q519" t="s">
        <v>69</v>
      </c>
      <c r="R519" t="s">
        <v>28</v>
      </c>
      <c r="S519">
        <v>3</v>
      </c>
    </row>
    <row r="520" spans="1:19">
      <c r="A520" t="s">
        <v>857</v>
      </c>
      <c r="B520" s="2">
        <v>45979</v>
      </c>
      <c r="C520" t="s">
        <v>91</v>
      </c>
      <c r="D520" t="s">
        <v>92</v>
      </c>
      <c r="E520" t="s">
        <v>32</v>
      </c>
      <c r="F520">
        <v>43</v>
      </c>
      <c r="G520" t="s">
        <v>93</v>
      </c>
      <c r="H520" t="s">
        <v>94</v>
      </c>
      <c r="I520" t="s">
        <v>35</v>
      </c>
      <c r="J520" t="s">
        <v>126</v>
      </c>
      <c r="K520">
        <v>2</v>
      </c>
      <c r="L520">
        <v>1499</v>
      </c>
      <c r="M520" s="3">
        <v>0.15</v>
      </c>
      <c r="N520">
        <v>2548.3000000000002</v>
      </c>
      <c r="O520">
        <v>1700</v>
      </c>
      <c r="P520">
        <v>848.3</v>
      </c>
      <c r="Q520" t="s">
        <v>37</v>
      </c>
      <c r="R520" t="s">
        <v>28</v>
      </c>
      <c r="S520">
        <v>5</v>
      </c>
    </row>
    <row r="521" spans="1:19">
      <c r="A521" t="s">
        <v>858</v>
      </c>
      <c r="B521" s="2">
        <v>45862</v>
      </c>
      <c r="C521" t="s">
        <v>154</v>
      </c>
      <c r="D521" t="s">
        <v>155</v>
      </c>
      <c r="E521" t="s">
        <v>22</v>
      </c>
      <c r="F521">
        <v>53</v>
      </c>
      <c r="G521" t="s">
        <v>105</v>
      </c>
      <c r="H521" t="s">
        <v>105</v>
      </c>
      <c r="I521" t="s">
        <v>43</v>
      </c>
      <c r="J521" t="s">
        <v>95</v>
      </c>
      <c r="K521">
        <v>2</v>
      </c>
      <c r="L521">
        <v>2499</v>
      </c>
      <c r="M521" s="3">
        <v>0.15</v>
      </c>
      <c r="N521">
        <v>4248.3</v>
      </c>
      <c r="O521">
        <v>3000</v>
      </c>
      <c r="P521">
        <v>1248.3</v>
      </c>
      <c r="Q521" t="s">
        <v>27</v>
      </c>
      <c r="R521" t="s">
        <v>28</v>
      </c>
      <c r="S521">
        <v>3</v>
      </c>
    </row>
    <row r="522" spans="1:19">
      <c r="A522" t="s">
        <v>859</v>
      </c>
      <c r="B522" s="2">
        <v>46022</v>
      </c>
      <c r="C522" t="s">
        <v>413</v>
      </c>
      <c r="D522" t="s">
        <v>414</v>
      </c>
      <c r="E522" t="s">
        <v>22</v>
      </c>
      <c r="F522">
        <v>42</v>
      </c>
      <c r="G522" t="s">
        <v>33</v>
      </c>
      <c r="H522" t="s">
        <v>34</v>
      </c>
      <c r="I522" t="s">
        <v>43</v>
      </c>
      <c r="J522" t="s">
        <v>281</v>
      </c>
      <c r="K522">
        <v>2</v>
      </c>
      <c r="L522">
        <v>2999</v>
      </c>
      <c r="M522" s="3">
        <v>0.05</v>
      </c>
      <c r="N522">
        <v>5698.1</v>
      </c>
      <c r="O522">
        <v>3600</v>
      </c>
      <c r="P522">
        <v>2098.1</v>
      </c>
      <c r="Q522" t="s">
        <v>27</v>
      </c>
      <c r="R522" t="s">
        <v>28</v>
      </c>
      <c r="S522">
        <v>1</v>
      </c>
    </row>
    <row r="523" spans="1:19">
      <c r="A523" t="s">
        <v>860</v>
      </c>
      <c r="B523" s="2">
        <v>45664</v>
      </c>
      <c r="C523" t="s">
        <v>295</v>
      </c>
      <c r="D523" t="s">
        <v>296</v>
      </c>
      <c r="E523" t="s">
        <v>22</v>
      </c>
      <c r="F523">
        <v>33</v>
      </c>
      <c r="G523" t="s">
        <v>41</v>
      </c>
      <c r="H523" t="s">
        <v>42</v>
      </c>
      <c r="I523" t="s">
        <v>117</v>
      </c>
      <c r="J523" t="s">
        <v>118</v>
      </c>
      <c r="K523">
        <v>4</v>
      </c>
      <c r="L523">
        <v>999</v>
      </c>
      <c r="M523" s="3">
        <v>0.2</v>
      </c>
      <c r="N523">
        <v>3196.8</v>
      </c>
      <c r="O523">
        <v>2200</v>
      </c>
      <c r="P523">
        <v>996.8</v>
      </c>
      <c r="Q523" t="s">
        <v>50</v>
      </c>
      <c r="R523" t="s">
        <v>51</v>
      </c>
      <c r="S523">
        <v>4</v>
      </c>
    </row>
    <row r="524" spans="1:19">
      <c r="A524" t="s">
        <v>861</v>
      </c>
      <c r="B524" s="2">
        <v>46246</v>
      </c>
      <c r="C524" t="s">
        <v>862</v>
      </c>
      <c r="D524" t="s">
        <v>863</v>
      </c>
      <c r="E524" t="s">
        <v>32</v>
      </c>
      <c r="F524">
        <v>53</v>
      </c>
      <c r="G524" t="s">
        <v>41</v>
      </c>
      <c r="H524" t="s">
        <v>42</v>
      </c>
      <c r="I524" t="s">
        <v>75</v>
      </c>
      <c r="J524" t="s">
        <v>106</v>
      </c>
      <c r="K524">
        <v>3</v>
      </c>
      <c r="L524">
        <v>899</v>
      </c>
      <c r="M524" s="3">
        <v>0.15</v>
      </c>
      <c r="N524">
        <v>2292.4499999999998</v>
      </c>
      <c r="O524">
        <v>1800</v>
      </c>
      <c r="P524">
        <v>492.45</v>
      </c>
      <c r="Q524" t="s">
        <v>37</v>
      </c>
      <c r="R524" t="s">
        <v>28</v>
      </c>
      <c r="S524">
        <v>5</v>
      </c>
    </row>
    <row r="525" spans="1:19">
      <c r="A525" t="s">
        <v>864</v>
      </c>
      <c r="B525" s="2">
        <v>45789</v>
      </c>
      <c r="C525" t="s">
        <v>120</v>
      </c>
      <c r="D525" t="s">
        <v>121</v>
      </c>
      <c r="E525" t="s">
        <v>32</v>
      </c>
      <c r="F525">
        <v>35</v>
      </c>
      <c r="G525" t="s">
        <v>93</v>
      </c>
      <c r="H525" t="s">
        <v>94</v>
      </c>
      <c r="I525" t="s">
        <v>163</v>
      </c>
      <c r="J525" t="s">
        <v>290</v>
      </c>
      <c r="K525">
        <v>2</v>
      </c>
      <c r="L525">
        <v>1999</v>
      </c>
      <c r="M525" s="3">
        <v>0.2</v>
      </c>
      <c r="N525">
        <v>3198.4</v>
      </c>
      <c r="O525">
        <v>2400</v>
      </c>
      <c r="P525">
        <v>798.4</v>
      </c>
      <c r="Q525" t="s">
        <v>69</v>
      </c>
      <c r="R525" t="s">
        <v>28</v>
      </c>
      <c r="S525">
        <v>4</v>
      </c>
    </row>
    <row r="526" spans="1:19">
      <c r="A526" t="s">
        <v>865</v>
      </c>
      <c r="B526" s="2">
        <v>46013</v>
      </c>
      <c r="C526" t="s">
        <v>448</v>
      </c>
      <c r="D526" t="s">
        <v>449</v>
      </c>
      <c r="E526" t="s">
        <v>22</v>
      </c>
      <c r="F526">
        <v>43</v>
      </c>
      <c r="G526" t="s">
        <v>81</v>
      </c>
      <c r="H526" t="s">
        <v>82</v>
      </c>
      <c r="I526" t="s">
        <v>35</v>
      </c>
      <c r="J526" t="s">
        <v>126</v>
      </c>
      <c r="K526">
        <v>1</v>
      </c>
      <c r="L526">
        <v>1499</v>
      </c>
      <c r="M526" s="3">
        <v>0.2</v>
      </c>
      <c r="N526">
        <v>1199.2</v>
      </c>
      <c r="O526">
        <v>850</v>
      </c>
      <c r="P526">
        <v>349.2</v>
      </c>
      <c r="Q526" t="s">
        <v>66</v>
      </c>
      <c r="R526" t="s">
        <v>137</v>
      </c>
      <c r="S526">
        <v>2</v>
      </c>
    </row>
    <row r="527" spans="1:19">
      <c r="A527" t="s">
        <v>866</v>
      </c>
      <c r="B527" s="2">
        <v>45666</v>
      </c>
      <c r="C527" t="s">
        <v>195</v>
      </c>
      <c r="D527" t="s">
        <v>196</v>
      </c>
      <c r="E527" t="s">
        <v>22</v>
      </c>
      <c r="F527">
        <v>54</v>
      </c>
      <c r="G527" t="s">
        <v>73</v>
      </c>
      <c r="H527" t="s">
        <v>74</v>
      </c>
      <c r="I527" t="s">
        <v>25</v>
      </c>
      <c r="J527" t="s">
        <v>56</v>
      </c>
      <c r="K527">
        <v>4</v>
      </c>
      <c r="L527">
        <v>899</v>
      </c>
      <c r="M527" s="3">
        <v>0.1</v>
      </c>
      <c r="N527">
        <v>3236.4</v>
      </c>
      <c r="O527">
        <v>2200</v>
      </c>
      <c r="P527">
        <v>1036.4000000000001</v>
      </c>
      <c r="Q527" t="s">
        <v>69</v>
      </c>
      <c r="R527" t="s">
        <v>28</v>
      </c>
      <c r="S527">
        <v>4</v>
      </c>
    </row>
    <row r="528" spans="1:19">
      <c r="A528" t="s">
        <v>867</v>
      </c>
      <c r="B528" s="2">
        <v>45923</v>
      </c>
      <c r="C528" t="s">
        <v>212</v>
      </c>
      <c r="D528" t="s">
        <v>213</v>
      </c>
      <c r="E528" t="s">
        <v>22</v>
      </c>
      <c r="F528">
        <v>33</v>
      </c>
      <c r="G528" t="s">
        <v>48</v>
      </c>
      <c r="H528" t="s">
        <v>42</v>
      </c>
      <c r="I528" t="s">
        <v>25</v>
      </c>
      <c r="J528" t="s">
        <v>56</v>
      </c>
      <c r="K528">
        <v>3</v>
      </c>
      <c r="L528">
        <v>899</v>
      </c>
      <c r="M528" s="3">
        <v>0.1</v>
      </c>
      <c r="N528">
        <v>2427.3000000000002</v>
      </c>
      <c r="O528">
        <v>1650</v>
      </c>
      <c r="P528">
        <v>777.3</v>
      </c>
      <c r="Q528" t="s">
        <v>27</v>
      </c>
      <c r="R528" t="s">
        <v>28</v>
      </c>
      <c r="S528">
        <v>2</v>
      </c>
    </row>
    <row r="529" spans="1:19">
      <c r="A529" t="s">
        <v>868</v>
      </c>
      <c r="B529" s="2">
        <v>45846</v>
      </c>
      <c r="C529" t="s">
        <v>154</v>
      </c>
      <c r="D529" t="s">
        <v>155</v>
      </c>
      <c r="E529" t="s">
        <v>22</v>
      </c>
      <c r="F529">
        <v>53</v>
      </c>
      <c r="G529" t="s">
        <v>105</v>
      </c>
      <c r="H529" t="s">
        <v>105</v>
      </c>
      <c r="I529" t="s">
        <v>35</v>
      </c>
      <c r="J529" t="s">
        <v>36</v>
      </c>
      <c r="K529">
        <v>3</v>
      </c>
      <c r="L529">
        <v>599</v>
      </c>
      <c r="M529" s="3">
        <v>0.1</v>
      </c>
      <c r="N529">
        <v>1617.3</v>
      </c>
      <c r="O529">
        <v>960</v>
      </c>
      <c r="P529">
        <v>657.3</v>
      </c>
      <c r="Q529" t="s">
        <v>66</v>
      </c>
      <c r="R529" t="s">
        <v>28</v>
      </c>
      <c r="S529">
        <v>4</v>
      </c>
    </row>
    <row r="530" spans="1:19">
      <c r="A530" t="s">
        <v>869</v>
      </c>
      <c r="B530" s="2">
        <v>46119</v>
      </c>
      <c r="C530" t="s">
        <v>862</v>
      </c>
      <c r="D530" t="s">
        <v>863</v>
      </c>
      <c r="E530" t="s">
        <v>32</v>
      </c>
      <c r="F530">
        <v>53</v>
      </c>
      <c r="G530" t="s">
        <v>41</v>
      </c>
      <c r="H530" t="s">
        <v>42</v>
      </c>
      <c r="I530" t="s">
        <v>163</v>
      </c>
      <c r="J530" t="s">
        <v>214</v>
      </c>
      <c r="K530">
        <v>4</v>
      </c>
      <c r="L530">
        <v>1499</v>
      </c>
      <c r="M530" s="3">
        <v>0.1</v>
      </c>
      <c r="N530">
        <v>5396.4</v>
      </c>
      <c r="O530">
        <v>3600</v>
      </c>
      <c r="P530">
        <v>1796.4</v>
      </c>
      <c r="Q530" t="s">
        <v>27</v>
      </c>
      <c r="R530" t="s">
        <v>28</v>
      </c>
      <c r="S530">
        <v>5</v>
      </c>
    </row>
    <row r="531" spans="1:19">
      <c r="A531" t="s">
        <v>870</v>
      </c>
      <c r="B531" s="2">
        <v>46226</v>
      </c>
      <c r="C531" t="s">
        <v>183</v>
      </c>
      <c r="D531" t="s">
        <v>184</v>
      </c>
      <c r="E531" t="s">
        <v>22</v>
      </c>
      <c r="F531">
        <v>43</v>
      </c>
      <c r="G531" t="s">
        <v>60</v>
      </c>
      <c r="H531" t="s">
        <v>61</v>
      </c>
      <c r="I531" t="s">
        <v>25</v>
      </c>
      <c r="J531" t="s">
        <v>56</v>
      </c>
      <c r="K531">
        <v>3</v>
      </c>
      <c r="L531">
        <v>899</v>
      </c>
      <c r="M531" s="3">
        <v>0.05</v>
      </c>
      <c r="N531">
        <v>2562.15</v>
      </c>
      <c r="O531">
        <v>1650</v>
      </c>
      <c r="P531">
        <v>912.15</v>
      </c>
      <c r="Q531" t="s">
        <v>66</v>
      </c>
      <c r="R531" t="s">
        <v>137</v>
      </c>
      <c r="S531">
        <v>2</v>
      </c>
    </row>
    <row r="532" spans="1:19">
      <c r="A532" t="s">
        <v>871</v>
      </c>
      <c r="B532" s="2">
        <v>45667</v>
      </c>
      <c r="C532" t="s">
        <v>354</v>
      </c>
      <c r="D532" t="s">
        <v>339</v>
      </c>
      <c r="E532" t="s">
        <v>32</v>
      </c>
      <c r="F532">
        <v>25</v>
      </c>
      <c r="G532" t="s">
        <v>115</v>
      </c>
      <c r="H532" t="s">
        <v>116</v>
      </c>
      <c r="I532" t="s">
        <v>117</v>
      </c>
      <c r="J532" t="s">
        <v>152</v>
      </c>
      <c r="K532">
        <v>2</v>
      </c>
      <c r="L532">
        <v>899</v>
      </c>
      <c r="M532" s="3">
        <v>0.15</v>
      </c>
      <c r="N532">
        <v>1528.3</v>
      </c>
      <c r="O532">
        <v>1000</v>
      </c>
      <c r="P532">
        <v>528.29999999999995</v>
      </c>
      <c r="Q532" t="s">
        <v>27</v>
      </c>
      <c r="R532" t="s">
        <v>28</v>
      </c>
      <c r="S532">
        <v>2</v>
      </c>
    </row>
    <row r="533" spans="1:19">
      <c r="A533" t="s">
        <v>872</v>
      </c>
      <c r="B533" s="2">
        <v>45965</v>
      </c>
      <c r="C533" t="s">
        <v>351</v>
      </c>
      <c r="D533" t="s">
        <v>352</v>
      </c>
      <c r="E533" t="s">
        <v>32</v>
      </c>
      <c r="F533">
        <v>41</v>
      </c>
      <c r="G533" t="s">
        <v>73</v>
      </c>
      <c r="H533" t="s">
        <v>74</v>
      </c>
      <c r="I533" t="s">
        <v>35</v>
      </c>
      <c r="J533" t="s">
        <v>126</v>
      </c>
      <c r="K533">
        <v>3</v>
      </c>
      <c r="L533">
        <v>1499</v>
      </c>
      <c r="M533" s="3">
        <v>0.15</v>
      </c>
      <c r="N533">
        <v>3822.45</v>
      </c>
      <c r="O533">
        <v>2550</v>
      </c>
      <c r="P533">
        <v>1272.45</v>
      </c>
      <c r="Q533" t="s">
        <v>37</v>
      </c>
      <c r="R533" t="s">
        <v>28</v>
      </c>
      <c r="S533">
        <v>5</v>
      </c>
    </row>
    <row r="534" spans="1:19">
      <c r="A534" t="s">
        <v>873</v>
      </c>
      <c r="B534" s="2">
        <v>45719</v>
      </c>
      <c r="C534" t="s">
        <v>506</v>
      </c>
      <c r="D534" t="s">
        <v>414</v>
      </c>
      <c r="E534" t="s">
        <v>22</v>
      </c>
      <c r="F534">
        <v>42</v>
      </c>
      <c r="G534" t="s">
        <v>180</v>
      </c>
      <c r="H534" t="s">
        <v>181</v>
      </c>
      <c r="I534" t="s">
        <v>163</v>
      </c>
      <c r="J534" t="s">
        <v>290</v>
      </c>
      <c r="K534">
        <v>1</v>
      </c>
      <c r="L534">
        <v>1999</v>
      </c>
      <c r="M534" s="3">
        <v>0.05</v>
      </c>
      <c r="N534">
        <v>1899.05</v>
      </c>
      <c r="O534">
        <v>1200</v>
      </c>
      <c r="P534">
        <v>699.05</v>
      </c>
      <c r="Q534" t="s">
        <v>27</v>
      </c>
      <c r="R534" t="s">
        <v>137</v>
      </c>
      <c r="S534">
        <v>4</v>
      </c>
    </row>
    <row r="535" spans="1:19">
      <c r="A535" t="s">
        <v>874</v>
      </c>
      <c r="B535" s="2">
        <v>46027</v>
      </c>
      <c r="C535" t="s">
        <v>579</v>
      </c>
      <c r="D535" t="s">
        <v>145</v>
      </c>
      <c r="E535" t="s">
        <v>32</v>
      </c>
      <c r="F535">
        <v>22</v>
      </c>
      <c r="G535" t="s">
        <v>141</v>
      </c>
      <c r="H535" t="s">
        <v>142</v>
      </c>
      <c r="I535" t="s">
        <v>35</v>
      </c>
      <c r="J535" t="s">
        <v>136</v>
      </c>
      <c r="K535">
        <v>3</v>
      </c>
      <c r="L535">
        <v>799</v>
      </c>
      <c r="M535" s="3">
        <v>0.1</v>
      </c>
      <c r="N535">
        <v>2157.3000000000002</v>
      </c>
      <c r="O535">
        <v>1350</v>
      </c>
      <c r="P535">
        <v>807.3</v>
      </c>
      <c r="Q535" t="s">
        <v>37</v>
      </c>
      <c r="R535" t="s">
        <v>28</v>
      </c>
      <c r="S535">
        <v>3</v>
      </c>
    </row>
    <row r="536" spans="1:19">
      <c r="A536" t="s">
        <v>875</v>
      </c>
      <c r="B536" s="2">
        <v>46017</v>
      </c>
      <c r="C536" t="s">
        <v>199</v>
      </c>
      <c r="D536" t="s">
        <v>200</v>
      </c>
      <c r="E536" t="s">
        <v>22</v>
      </c>
      <c r="F536">
        <v>42</v>
      </c>
      <c r="G536" t="s">
        <v>33</v>
      </c>
      <c r="H536" t="s">
        <v>34</v>
      </c>
      <c r="I536" t="s">
        <v>25</v>
      </c>
      <c r="J536" t="s">
        <v>156</v>
      </c>
      <c r="K536">
        <v>4</v>
      </c>
      <c r="L536">
        <v>1999</v>
      </c>
      <c r="M536" s="3">
        <v>0</v>
      </c>
      <c r="N536">
        <v>7996</v>
      </c>
      <c r="O536">
        <v>5200</v>
      </c>
      <c r="P536">
        <v>2796</v>
      </c>
      <c r="Q536" t="s">
        <v>50</v>
      </c>
      <c r="R536" t="s">
        <v>28</v>
      </c>
      <c r="S536">
        <v>5</v>
      </c>
    </row>
    <row r="537" spans="1:19">
      <c r="A537" t="s">
        <v>876</v>
      </c>
      <c r="B537" s="2">
        <v>45990</v>
      </c>
      <c r="C537" t="s">
        <v>467</v>
      </c>
      <c r="D537" t="s">
        <v>322</v>
      </c>
      <c r="E537" t="s">
        <v>32</v>
      </c>
      <c r="F537">
        <v>41</v>
      </c>
      <c r="G537" t="s">
        <v>55</v>
      </c>
      <c r="H537" t="s">
        <v>34</v>
      </c>
      <c r="I537" t="s">
        <v>43</v>
      </c>
      <c r="J537" t="s">
        <v>95</v>
      </c>
      <c r="K537">
        <v>3</v>
      </c>
      <c r="L537">
        <v>2499</v>
      </c>
      <c r="M537" s="3">
        <v>0.1</v>
      </c>
      <c r="N537">
        <v>6747.3</v>
      </c>
      <c r="O537">
        <v>4500</v>
      </c>
      <c r="P537">
        <v>2247.3000000000002</v>
      </c>
      <c r="Q537" t="s">
        <v>50</v>
      </c>
      <c r="R537" t="s">
        <v>28</v>
      </c>
      <c r="S537">
        <v>4</v>
      </c>
    </row>
    <row r="538" spans="1:19">
      <c r="A538" t="s">
        <v>877</v>
      </c>
      <c r="B538" s="2">
        <v>45806</v>
      </c>
      <c r="C538" t="s">
        <v>295</v>
      </c>
      <c r="D538" t="s">
        <v>296</v>
      </c>
      <c r="E538" t="s">
        <v>22</v>
      </c>
      <c r="F538">
        <v>33</v>
      </c>
      <c r="G538" t="s">
        <v>41</v>
      </c>
      <c r="H538" t="s">
        <v>42</v>
      </c>
      <c r="I538" t="s">
        <v>163</v>
      </c>
      <c r="J538" t="s">
        <v>290</v>
      </c>
      <c r="K538">
        <v>3</v>
      </c>
      <c r="L538">
        <v>1999</v>
      </c>
      <c r="M538" s="3">
        <v>0.15</v>
      </c>
      <c r="N538">
        <v>5097.45</v>
      </c>
      <c r="O538">
        <v>3600</v>
      </c>
      <c r="P538">
        <v>1497.45</v>
      </c>
      <c r="Q538" t="s">
        <v>27</v>
      </c>
      <c r="R538" t="s">
        <v>28</v>
      </c>
      <c r="S538">
        <v>3</v>
      </c>
    </row>
    <row r="539" spans="1:19">
      <c r="A539" t="s">
        <v>878</v>
      </c>
      <c r="B539" s="2">
        <v>45739</v>
      </c>
      <c r="C539" t="s">
        <v>475</v>
      </c>
      <c r="D539" t="s">
        <v>476</v>
      </c>
      <c r="E539" t="s">
        <v>32</v>
      </c>
      <c r="F539">
        <v>51</v>
      </c>
      <c r="G539" t="s">
        <v>141</v>
      </c>
      <c r="H539" t="s">
        <v>142</v>
      </c>
      <c r="I539" t="s">
        <v>75</v>
      </c>
      <c r="J539" t="s">
        <v>76</v>
      </c>
      <c r="K539">
        <v>4</v>
      </c>
      <c r="L539">
        <v>399</v>
      </c>
      <c r="M539" s="3">
        <v>0</v>
      </c>
      <c r="N539">
        <v>1596</v>
      </c>
      <c r="O539">
        <v>880</v>
      </c>
      <c r="P539">
        <v>716</v>
      </c>
      <c r="Q539" t="s">
        <v>27</v>
      </c>
      <c r="R539" t="s">
        <v>28</v>
      </c>
      <c r="S539">
        <v>3</v>
      </c>
    </row>
    <row r="540" spans="1:19">
      <c r="A540" t="s">
        <v>879</v>
      </c>
      <c r="B540" s="2">
        <v>46062</v>
      </c>
      <c r="C540" t="s">
        <v>357</v>
      </c>
      <c r="D540" t="s">
        <v>237</v>
      </c>
      <c r="E540" t="s">
        <v>22</v>
      </c>
      <c r="F540">
        <v>42</v>
      </c>
      <c r="G540" t="s">
        <v>251</v>
      </c>
      <c r="H540" t="s">
        <v>251</v>
      </c>
      <c r="I540" t="s">
        <v>75</v>
      </c>
      <c r="J540" t="s">
        <v>76</v>
      </c>
      <c r="K540">
        <v>3</v>
      </c>
      <c r="L540">
        <v>399</v>
      </c>
      <c r="M540" s="3">
        <v>0.1</v>
      </c>
      <c r="N540">
        <v>1077.3</v>
      </c>
      <c r="O540">
        <v>660</v>
      </c>
      <c r="P540">
        <v>417.3</v>
      </c>
      <c r="Q540" t="s">
        <v>37</v>
      </c>
      <c r="R540" t="s">
        <v>77</v>
      </c>
      <c r="S540">
        <v>3</v>
      </c>
    </row>
    <row r="541" spans="1:19">
      <c r="A541" t="s">
        <v>880</v>
      </c>
      <c r="B541" s="2">
        <v>45846</v>
      </c>
      <c r="C541" t="s">
        <v>329</v>
      </c>
      <c r="D541" t="s">
        <v>330</v>
      </c>
      <c r="E541" t="s">
        <v>22</v>
      </c>
      <c r="F541">
        <v>28</v>
      </c>
      <c r="G541" t="s">
        <v>81</v>
      </c>
      <c r="H541" t="s">
        <v>82</v>
      </c>
      <c r="I541" t="s">
        <v>35</v>
      </c>
      <c r="J541" t="s">
        <v>136</v>
      </c>
      <c r="K541">
        <v>4</v>
      </c>
      <c r="L541">
        <v>799</v>
      </c>
      <c r="M541" s="3">
        <v>0.05</v>
      </c>
      <c r="N541">
        <v>3036.2</v>
      </c>
      <c r="O541">
        <v>1800</v>
      </c>
      <c r="P541">
        <v>1236.2</v>
      </c>
      <c r="Q541" t="s">
        <v>69</v>
      </c>
      <c r="R541" t="s">
        <v>28</v>
      </c>
      <c r="S541">
        <v>2</v>
      </c>
    </row>
    <row r="542" spans="1:19">
      <c r="A542" t="s">
        <v>881</v>
      </c>
      <c r="B542" s="2">
        <v>45828</v>
      </c>
      <c r="C542" t="s">
        <v>209</v>
      </c>
      <c r="D542" t="s">
        <v>210</v>
      </c>
      <c r="E542" t="s">
        <v>32</v>
      </c>
      <c r="F542">
        <v>26</v>
      </c>
      <c r="G542" t="s">
        <v>23</v>
      </c>
      <c r="H542" t="s">
        <v>24</v>
      </c>
      <c r="I542" t="s">
        <v>117</v>
      </c>
      <c r="J542" t="s">
        <v>152</v>
      </c>
      <c r="K542">
        <v>1</v>
      </c>
      <c r="L542">
        <v>899</v>
      </c>
      <c r="M542" s="3">
        <v>0.05</v>
      </c>
      <c r="N542">
        <v>854.05</v>
      </c>
      <c r="O542">
        <v>500</v>
      </c>
      <c r="P542">
        <v>354.05</v>
      </c>
      <c r="Q542" t="s">
        <v>66</v>
      </c>
      <c r="R542" t="s">
        <v>28</v>
      </c>
      <c r="S542">
        <v>1</v>
      </c>
    </row>
    <row r="543" spans="1:19">
      <c r="A543" t="s">
        <v>882</v>
      </c>
      <c r="B543" s="2">
        <v>46064</v>
      </c>
      <c r="C543" t="s">
        <v>433</v>
      </c>
      <c r="D543" t="s">
        <v>92</v>
      </c>
      <c r="E543" t="s">
        <v>32</v>
      </c>
      <c r="F543">
        <v>28</v>
      </c>
      <c r="G543" t="s">
        <v>93</v>
      </c>
      <c r="H543" t="s">
        <v>94</v>
      </c>
      <c r="I543" t="s">
        <v>35</v>
      </c>
      <c r="J543" t="s">
        <v>126</v>
      </c>
      <c r="K543">
        <v>1</v>
      </c>
      <c r="L543">
        <v>1499</v>
      </c>
      <c r="M543" s="3">
        <v>0</v>
      </c>
      <c r="N543">
        <v>1499</v>
      </c>
      <c r="O543">
        <v>850</v>
      </c>
      <c r="P543">
        <v>649</v>
      </c>
      <c r="Q543" t="s">
        <v>50</v>
      </c>
      <c r="R543" t="s">
        <v>28</v>
      </c>
      <c r="S543">
        <v>1</v>
      </c>
    </row>
    <row r="544" spans="1:19">
      <c r="A544" t="s">
        <v>883</v>
      </c>
      <c r="B544" s="2">
        <v>46057</v>
      </c>
      <c r="C544" t="s">
        <v>595</v>
      </c>
      <c r="D544" t="s">
        <v>596</v>
      </c>
      <c r="E544" t="s">
        <v>22</v>
      </c>
      <c r="F544">
        <v>25</v>
      </c>
      <c r="G544" t="s">
        <v>180</v>
      </c>
      <c r="H544" t="s">
        <v>181</v>
      </c>
      <c r="I544" t="s">
        <v>43</v>
      </c>
      <c r="J544" t="s">
        <v>197</v>
      </c>
      <c r="K544">
        <v>2</v>
      </c>
      <c r="L544">
        <v>1799</v>
      </c>
      <c r="M544" s="3">
        <v>0</v>
      </c>
      <c r="N544">
        <v>3598</v>
      </c>
      <c r="O544">
        <v>2100</v>
      </c>
      <c r="P544">
        <v>1498</v>
      </c>
      <c r="Q544" t="s">
        <v>37</v>
      </c>
      <c r="R544" t="s">
        <v>28</v>
      </c>
      <c r="S544">
        <v>3</v>
      </c>
    </row>
    <row r="545" spans="1:19">
      <c r="A545" t="s">
        <v>884</v>
      </c>
      <c r="B545" s="2">
        <v>46197</v>
      </c>
      <c r="C545" t="s">
        <v>381</v>
      </c>
      <c r="D545" t="s">
        <v>382</v>
      </c>
      <c r="E545" t="s">
        <v>22</v>
      </c>
      <c r="F545">
        <v>26</v>
      </c>
      <c r="G545" t="s">
        <v>55</v>
      </c>
      <c r="H545" t="s">
        <v>34</v>
      </c>
      <c r="I545" t="s">
        <v>75</v>
      </c>
      <c r="J545" t="s">
        <v>76</v>
      </c>
      <c r="K545">
        <v>2</v>
      </c>
      <c r="L545">
        <v>399</v>
      </c>
      <c r="M545" s="3">
        <v>0.05</v>
      </c>
      <c r="N545">
        <v>758.1</v>
      </c>
      <c r="O545">
        <v>440</v>
      </c>
      <c r="P545">
        <v>318.10000000000002</v>
      </c>
      <c r="Q545" t="s">
        <v>27</v>
      </c>
      <c r="R545" t="s">
        <v>28</v>
      </c>
      <c r="S545">
        <v>3</v>
      </c>
    </row>
    <row r="546" spans="1:19">
      <c r="A546" t="s">
        <v>885</v>
      </c>
      <c r="B546" s="2">
        <v>45936</v>
      </c>
      <c r="C546" t="s">
        <v>532</v>
      </c>
      <c r="D546" t="s">
        <v>533</v>
      </c>
      <c r="E546" t="s">
        <v>22</v>
      </c>
      <c r="F546">
        <v>32</v>
      </c>
      <c r="G546" t="s">
        <v>180</v>
      </c>
      <c r="H546" t="s">
        <v>181</v>
      </c>
      <c r="I546" t="s">
        <v>35</v>
      </c>
      <c r="J546" t="s">
        <v>36</v>
      </c>
      <c r="K546">
        <v>4</v>
      </c>
      <c r="L546">
        <v>599</v>
      </c>
      <c r="M546" s="3">
        <v>0.2</v>
      </c>
      <c r="N546">
        <v>1916.8</v>
      </c>
      <c r="O546">
        <v>1280</v>
      </c>
      <c r="P546">
        <v>636.79999999999995</v>
      </c>
      <c r="Q546" t="s">
        <v>50</v>
      </c>
      <c r="R546" t="s">
        <v>28</v>
      </c>
      <c r="S546">
        <v>5</v>
      </c>
    </row>
    <row r="547" spans="1:19">
      <c r="A547" t="s">
        <v>886</v>
      </c>
      <c r="B547" s="2">
        <v>46103</v>
      </c>
      <c r="C547" t="s">
        <v>511</v>
      </c>
      <c r="D547" t="s">
        <v>512</v>
      </c>
      <c r="E547" t="s">
        <v>22</v>
      </c>
      <c r="F547">
        <v>24</v>
      </c>
      <c r="G547" t="s">
        <v>115</v>
      </c>
      <c r="H547" t="s">
        <v>116</v>
      </c>
      <c r="I547" t="s">
        <v>75</v>
      </c>
      <c r="J547" t="s">
        <v>86</v>
      </c>
      <c r="K547">
        <v>4</v>
      </c>
      <c r="L547">
        <v>499</v>
      </c>
      <c r="M547" s="3">
        <v>0.2</v>
      </c>
      <c r="N547">
        <v>1596.8</v>
      </c>
      <c r="O547">
        <v>1200</v>
      </c>
      <c r="P547">
        <v>396.8</v>
      </c>
      <c r="Q547" t="s">
        <v>50</v>
      </c>
      <c r="R547" t="s">
        <v>28</v>
      </c>
      <c r="S547">
        <v>5</v>
      </c>
    </row>
    <row r="548" spans="1:19">
      <c r="A548" t="s">
        <v>887</v>
      </c>
      <c r="B548" s="2">
        <v>45890</v>
      </c>
      <c r="C548" t="s">
        <v>139</v>
      </c>
      <c r="D548" t="s">
        <v>140</v>
      </c>
      <c r="E548" t="s">
        <v>22</v>
      </c>
      <c r="F548">
        <v>44</v>
      </c>
      <c r="G548" t="s">
        <v>141</v>
      </c>
      <c r="H548" t="s">
        <v>142</v>
      </c>
      <c r="I548" t="s">
        <v>163</v>
      </c>
      <c r="J548" t="s">
        <v>214</v>
      </c>
      <c r="K548">
        <v>4</v>
      </c>
      <c r="L548">
        <v>1499</v>
      </c>
      <c r="M548" s="3">
        <v>0.2</v>
      </c>
      <c r="N548">
        <v>4796.8</v>
      </c>
      <c r="O548">
        <v>3600</v>
      </c>
      <c r="P548">
        <v>1196.8</v>
      </c>
      <c r="Q548" t="s">
        <v>69</v>
      </c>
      <c r="R548" t="s">
        <v>28</v>
      </c>
      <c r="S548">
        <v>3</v>
      </c>
    </row>
    <row r="549" spans="1:19">
      <c r="A549" t="s">
        <v>888</v>
      </c>
      <c r="B549" s="2">
        <v>45668</v>
      </c>
      <c r="C549" t="s">
        <v>270</v>
      </c>
      <c r="D549" t="s">
        <v>271</v>
      </c>
      <c r="E549" t="s">
        <v>22</v>
      </c>
      <c r="F549">
        <v>51</v>
      </c>
      <c r="G549" t="s">
        <v>48</v>
      </c>
      <c r="H549" t="s">
        <v>42</v>
      </c>
      <c r="I549" t="s">
        <v>43</v>
      </c>
      <c r="J549" t="s">
        <v>197</v>
      </c>
      <c r="K549">
        <v>2</v>
      </c>
      <c r="L549">
        <v>1799</v>
      </c>
      <c r="M549" s="3">
        <v>0.1</v>
      </c>
      <c r="N549">
        <v>3238.2</v>
      </c>
      <c r="O549">
        <v>2100</v>
      </c>
      <c r="P549">
        <v>1138.2</v>
      </c>
      <c r="Q549" t="s">
        <v>69</v>
      </c>
      <c r="R549" t="s">
        <v>28</v>
      </c>
      <c r="S549">
        <v>2</v>
      </c>
    </row>
    <row r="550" spans="1:19">
      <c r="A550" t="s">
        <v>889</v>
      </c>
      <c r="B550" s="2">
        <v>45666</v>
      </c>
      <c r="C550" t="s">
        <v>199</v>
      </c>
      <c r="D550" t="s">
        <v>200</v>
      </c>
      <c r="E550" t="s">
        <v>22</v>
      </c>
      <c r="F550">
        <v>42</v>
      </c>
      <c r="G550" t="s">
        <v>33</v>
      </c>
      <c r="H550" t="s">
        <v>34</v>
      </c>
      <c r="I550" t="s">
        <v>43</v>
      </c>
      <c r="J550" t="s">
        <v>44</v>
      </c>
      <c r="K550">
        <v>4</v>
      </c>
      <c r="L550">
        <v>1599</v>
      </c>
      <c r="M550" s="3">
        <v>0.2</v>
      </c>
      <c r="N550">
        <v>5116.8</v>
      </c>
      <c r="O550">
        <v>3800</v>
      </c>
      <c r="P550">
        <v>1316.8</v>
      </c>
      <c r="Q550" t="s">
        <v>66</v>
      </c>
      <c r="R550" t="s">
        <v>77</v>
      </c>
      <c r="S550">
        <v>4</v>
      </c>
    </row>
    <row r="551" spans="1:19">
      <c r="A551" t="s">
        <v>890</v>
      </c>
      <c r="B551" s="2">
        <v>45894</v>
      </c>
      <c r="C551" t="s">
        <v>84</v>
      </c>
      <c r="D551" t="s">
        <v>85</v>
      </c>
      <c r="E551" t="s">
        <v>32</v>
      </c>
      <c r="F551">
        <v>20</v>
      </c>
      <c r="G551" t="s">
        <v>41</v>
      </c>
      <c r="H551" t="s">
        <v>42</v>
      </c>
      <c r="I551" t="s">
        <v>25</v>
      </c>
      <c r="J551" t="s">
        <v>156</v>
      </c>
      <c r="K551">
        <v>4</v>
      </c>
      <c r="L551">
        <v>1999</v>
      </c>
      <c r="M551" s="3">
        <v>0.1</v>
      </c>
      <c r="N551">
        <v>7196.4</v>
      </c>
      <c r="O551">
        <v>5200</v>
      </c>
      <c r="P551">
        <v>1996.4</v>
      </c>
      <c r="Q551" t="s">
        <v>69</v>
      </c>
      <c r="R551" t="s">
        <v>28</v>
      </c>
      <c r="S551">
        <v>2</v>
      </c>
    </row>
    <row r="552" spans="1:19">
      <c r="A552" t="s">
        <v>891</v>
      </c>
      <c r="B552" s="2">
        <v>45913</v>
      </c>
      <c r="C552" t="s">
        <v>270</v>
      </c>
      <c r="D552" t="s">
        <v>271</v>
      </c>
      <c r="E552" t="s">
        <v>22</v>
      </c>
      <c r="F552">
        <v>51</v>
      </c>
      <c r="G552" t="s">
        <v>48</v>
      </c>
      <c r="H552" t="s">
        <v>42</v>
      </c>
      <c r="I552" t="s">
        <v>35</v>
      </c>
      <c r="J552" t="s">
        <v>126</v>
      </c>
      <c r="K552">
        <v>4</v>
      </c>
      <c r="L552">
        <v>1499</v>
      </c>
      <c r="M552" s="3">
        <v>0.15</v>
      </c>
      <c r="N552">
        <v>5096.6000000000004</v>
      </c>
      <c r="O552">
        <v>3400</v>
      </c>
      <c r="P552">
        <v>1696.6</v>
      </c>
      <c r="Q552" t="s">
        <v>27</v>
      </c>
      <c r="R552" t="s">
        <v>28</v>
      </c>
      <c r="S552">
        <v>4</v>
      </c>
    </row>
    <row r="553" spans="1:19">
      <c r="A553" t="s">
        <v>892</v>
      </c>
      <c r="B553" s="2">
        <v>46090</v>
      </c>
      <c r="C553" t="s">
        <v>516</v>
      </c>
      <c r="D553" t="s">
        <v>449</v>
      </c>
      <c r="E553" t="s">
        <v>22</v>
      </c>
      <c r="F553">
        <v>45</v>
      </c>
      <c r="G553" t="s">
        <v>41</v>
      </c>
      <c r="H553" t="s">
        <v>42</v>
      </c>
      <c r="I553" t="s">
        <v>43</v>
      </c>
      <c r="J553" t="s">
        <v>281</v>
      </c>
      <c r="K553">
        <v>3</v>
      </c>
      <c r="L553">
        <v>2999</v>
      </c>
      <c r="M553" s="3">
        <v>0</v>
      </c>
      <c r="N553">
        <v>8997</v>
      </c>
      <c r="O553">
        <v>5400</v>
      </c>
      <c r="P553">
        <v>3597</v>
      </c>
      <c r="Q553" t="s">
        <v>27</v>
      </c>
      <c r="R553" t="s">
        <v>28</v>
      </c>
      <c r="S553">
        <v>5</v>
      </c>
    </row>
    <row r="554" spans="1:19">
      <c r="A554" t="s">
        <v>893</v>
      </c>
      <c r="B554" s="2">
        <v>45850</v>
      </c>
      <c r="C554" t="s">
        <v>39</v>
      </c>
      <c r="D554" t="s">
        <v>40</v>
      </c>
      <c r="E554" t="s">
        <v>22</v>
      </c>
      <c r="F554">
        <v>39</v>
      </c>
      <c r="G554" t="s">
        <v>41</v>
      </c>
      <c r="H554" t="s">
        <v>42</v>
      </c>
      <c r="I554" t="s">
        <v>43</v>
      </c>
      <c r="J554" t="s">
        <v>44</v>
      </c>
      <c r="K554">
        <v>3</v>
      </c>
      <c r="L554">
        <v>1599</v>
      </c>
      <c r="M554" s="3">
        <v>0.15</v>
      </c>
      <c r="N554">
        <v>4077.45</v>
      </c>
      <c r="O554">
        <v>2850</v>
      </c>
      <c r="P554">
        <v>1227.45</v>
      </c>
      <c r="Q554" t="s">
        <v>69</v>
      </c>
      <c r="R554" t="s">
        <v>28</v>
      </c>
      <c r="S554">
        <v>3</v>
      </c>
    </row>
    <row r="555" spans="1:19">
      <c r="A555" t="s">
        <v>894</v>
      </c>
      <c r="B555" s="2">
        <v>46121</v>
      </c>
      <c r="C555" t="s">
        <v>250</v>
      </c>
      <c r="D555" t="s">
        <v>241</v>
      </c>
      <c r="E555" t="s">
        <v>32</v>
      </c>
      <c r="F555">
        <v>18</v>
      </c>
      <c r="G555" t="s">
        <v>251</v>
      </c>
      <c r="H555" t="s">
        <v>251</v>
      </c>
      <c r="I555" t="s">
        <v>75</v>
      </c>
      <c r="J555" t="s">
        <v>76</v>
      </c>
      <c r="K555">
        <v>4</v>
      </c>
      <c r="L555">
        <v>399</v>
      </c>
      <c r="M555" s="3">
        <v>0.2</v>
      </c>
      <c r="N555">
        <v>1276.8</v>
      </c>
      <c r="O555">
        <v>880</v>
      </c>
      <c r="P555">
        <v>396.8</v>
      </c>
      <c r="Q555" t="s">
        <v>37</v>
      </c>
      <c r="R555" t="s">
        <v>28</v>
      </c>
      <c r="S555">
        <v>4</v>
      </c>
    </row>
    <row r="556" spans="1:19">
      <c r="A556" t="s">
        <v>895</v>
      </c>
      <c r="B556" s="2">
        <v>45708</v>
      </c>
      <c r="C556" t="s">
        <v>603</v>
      </c>
      <c r="D556" t="s">
        <v>604</v>
      </c>
      <c r="E556" t="s">
        <v>32</v>
      </c>
      <c r="F556">
        <v>33</v>
      </c>
      <c r="G556" t="s">
        <v>41</v>
      </c>
      <c r="H556" t="s">
        <v>42</v>
      </c>
      <c r="I556" t="s">
        <v>163</v>
      </c>
      <c r="J556" t="s">
        <v>164</v>
      </c>
      <c r="K556">
        <v>1</v>
      </c>
      <c r="L556">
        <v>3499</v>
      </c>
      <c r="M556" s="3">
        <v>0.05</v>
      </c>
      <c r="N556">
        <v>3324.05</v>
      </c>
      <c r="O556">
        <v>2200</v>
      </c>
      <c r="P556">
        <v>1124.05</v>
      </c>
      <c r="Q556" t="s">
        <v>50</v>
      </c>
      <c r="R556" t="s">
        <v>28</v>
      </c>
      <c r="S556">
        <v>1</v>
      </c>
    </row>
    <row r="557" spans="1:19">
      <c r="A557" t="s">
        <v>896</v>
      </c>
      <c r="B557" s="2">
        <v>45666</v>
      </c>
      <c r="C557" t="s">
        <v>53</v>
      </c>
      <c r="D557" t="s">
        <v>54</v>
      </c>
      <c r="E557" t="s">
        <v>22</v>
      </c>
      <c r="F557">
        <v>34</v>
      </c>
      <c r="G557" t="s">
        <v>55</v>
      </c>
      <c r="H557" t="s">
        <v>34</v>
      </c>
      <c r="I557" t="s">
        <v>43</v>
      </c>
      <c r="J557" t="s">
        <v>197</v>
      </c>
      <c r="K557">
        <v>2</v>
      </c>
      <c r="L557">
        <v>1799</v>
      </c>
      <c r="M557" s="3">
        <v>0.15</v>
      </c>
      <c r="N557">
        <v>3058.3</v>
      </c>
      <c r="O557">
        <v>2100</v>
      </c>
      <c r="P557">
        <v>958.3</v>
      </c>
      <c r="Q557" t="s">
        <v>27</v>
      </c>
      <c r="R557" t="s">
        <v>28</v>
      </c>
      <c r="S557">
        <v>1</v>
      </c>
    </row>
    <row r="558" spans="1:19">
      <c r="A558" t="s">
        <v>897</v>
      </c>
      <c r="B558" s="2">
        <v>45977</v>
      </c>
      <c r="C558" t="s">
        <v>230</v>
      </c>
      <c r="D558" t="s">
        <v>231</v>
      </c>
      <c r="E558" t="s">
        <v>32</v>
      </c>
      <c r="F558">
        <v>35</v>
      </c>
      <c r="G558" t="s">
        <v>55</v>
      </c>
      <c r="H558" t="s">
        <v>34</v>
      </c>
      <c r="I558" t="s">
        <v>43</v>
      </c>
      <c r="J558" t="s">
        <v>49</v>
      </c>
      <c r="K558">
        <v>3</v>
      </c>
      <c r="L558">
        <v>799</v>
      </c>
      <c r="M558" s="3">
        <v>0.15</v>
      </c>
      <c r="N558">
        <v>2037.45</v>
      </c>
      <c r="O558">
        <v>1350</v>
      </c>
      <c r="P558">
        <v>687.45</v>
      </c>
      <c r="Q558" t="s">
        <v>66</v>
      </c>
      <c r="R558" t="s">
        <v>51</v>
      </c>
      <c r="S558">
        <v>4</v>
      </c>
    </row>
    <row r="559" spans="1:19">
      <c r="A559" t="s">
        <v>898</v>
      </c>
      <c r="B559" s="2">
        <v>45715</v>
      </c>
      <c r="C559" t="s">
        <v>236</v>
      </c>
      <c r="D559" t="s">
        <v>237</v>
      </c>
      <c r="E559" t="s">
        <v>32</v>
      </c>
      <c r="F559">
        <v>34</v>
      </c>
      <c r="G559" t="s">
        <v>180</v>
      </c>
      <c r="H559" t="s">
        <v>181</v>
      </c>
      <c r="I559" t="s">
        <v>163</v>
      </c>
      <c r="J559" t="s">
        <v>164</v>
      </c>
      <c r="K559">
        <v>1</v>
      </c>
      <c r="L559">
        <v>3499</v>
      </c>
      <c r="M559" s="3">
        <v>0.05</v>
      </c>
      <c r="N559">
        <v>3324.05</v>
      </c>
      <c r="O559">
        <v>2200</v>
      </c>
      <c r="P559">
        <v>1124.05</v>
      </c>
      <c r="Q559" t="s">
        <v>37</v>
      </c>
      <c r="R559" t="s">
        <v>28</v>
      </c>
      <c r="S559">
        <v>1</v>
      </c>
    </row>
    <row r="560" spans="1:19">
      <c r="A560" t="s">
        <v>899</v>
      </c>
      <c r="B560" s="2">
        <v>45914</v>
      </c>
      <c r="C560" t="s">
        <v>573</v>
      </c>
      <c r="D560" t="s">
        <v>92</v>
      </c>
      <c r="E560" t="s">
        <v>32</v>
      </c>
      <c r="F560">
        <v>41</v>
      </c>
      <c r="G560" t="s">
        <v>60</v>
      </c>
      <c r="H560" t="s">
        <v>61</v>
      </c>
      <c r="I560" t="s">
        <v>35</v>
      </c>
      <c r="J560" t="s">
        <v>36</v>
      </c>
      <c r="K560">
        <v>2</v>
      </c>
      <c r="L560">
        <v>599</v>
      </c>
      <c r="M560" s="3">
        <v>0.05</v>
      </c>
      <c r="N560">
        <v>1138.0999999999999</v>
      </c>
      <c r="O560">
        <v>640</v>
      </c>
      <c r="P560">
        <v>498.1</v>
      </c>
      <c r="Q560" t="s">
        <v>66</v>
      </c>
      <c r="R560" t="s">
        <v>137</v>
      </c>
      <c r="S560">
        <v>1</v>
      </c>
    </row>
    <row r="561" spans="1:19">
      <c r="A561" t="s">
        <v>900</v>
      </c>
      <c r="B561" s="2">
        <v>45692</v>
      </c>
      <c r="C561" t="s">
        <v>79</v>
      </c>
      <c r="D561" t="s">
        <v>80</v>
      </c>
      <c r="E561" t="s">
        <v>22</v>
      </c>
      <c r="F561">
        <v>22</v>
      </c>
      <c r="G561" t="s">
        <v>81</v>
      </c>
      <c r="H561" t="s">
        <v>82</v>
      </c>
      <c r="I561" t="s">
        <v>163</v>
      </c>
      <c r="J561" t="s">
        <v>290</v>
      </c>
      <c r="K561">
        <v>4</v>
      </c>
      <c r="L561">
        <v>1999</v>
      </c>
      <c r="M561" s="3">
        <v>0.05</v>
      </c>
      <c r="N561">
        <v>7596.2</v>
      </c>
      <c r="O561">
        <v>4800</v>
      </c>
      <c r="P561">
        <v>2796.2</v>
      </c>
      <c r="Q561" t="s">
        <v>27</v>
      </c>
      <c r="R561" t="s">
        <v>28</v>
      </c>
      <c r="S561">
        <v>1</v>
      </c>
    </row>
    <row r="562" spans="1:19">
      <c r="A562" t="s">
        <v>901</v>
      </c>
      <c r="B562" s="2">
        <v>46056</v>
      </c>
      <c r="C562" t="s">
        <v>329</v>
      </c>
      <c r="D562" t="s">
        <v>330</v>
      </c>
      <c r="E562" t="s">
        <v>22</v>
      </c>
      <c r="F562">
        <v>28</v>
      </c>
      <c r="G562" t="s">
        <v>81</v>
      </c>
      <c r="H562" t="s">
        <v>82</v>
      </c>
      <c r="I562" t="s">
        <v>117</v>
      </c>
      <c r="J562" t="s">
        <v>118</v>
      </c>
      <c r="K562">
        <v>2</v>
      </c>
      <c r="L562">
        <v>999</v>
      </c>
      <c r="M562" s="3">
        <v>0.15</v>
      </c>
      <c r="N562">
        <v>1698.3</v>
      </c>
      <c r="O562">
        <v>1100</v>
      </c>
      <c r="P562">
        <v>598.29999999999995</v>
      </c>
      <c r="Q562" t="s">
        <v>37</v>
      </c>
      <c r="R562" t="s">
        <v>77</v>
      </c>
      <c r="S562">
        <v>2</v>
      </c>
    </row>
    <row r="563" spans="1:19">
      <c r="A563" t="s">
        <v>902</v>
      </c>
      <c r="B563" s="2">
        <v>46150</v>
      </c>
      <c r="C563" t="s">
        <v>496</v>
      </c>
      <c r="D563" t="s">
        <v>408</v>
      </c>
      <c r="E563" t="s">
        <v>32</v>
      </c>
      <c r="F563">
        <v>54</v>
      </c>
      <c r="G563" t="s">
        <v>41</v>
      </c>
      <c r="H563" t="s">
        <v>42</v>
      </c>
      <c r="I563" t="s">
        <v>117</v>
      </c>
      <c r="J563" t="s">
        <v>152</v>
      </c>
      <c r="K563">
        <v>1</v>
      </c>
      <c r="L563">
        <v>899</v>
      </c>
      <c r="M563" s="3">
        <v>0.1</v>
      </c>
      <c r="N563">
        <v>809.1</v>
      </c>
      <c r="O563">
        <v>500</v>
      </c>
      <c r="P563">
        <v>309.10000000000002</v>
      </c>
      <c r="Q563" t="s">
        <v>37</v>
      </c>
      <c r="R563" t="s">
        <v>28</v>
      </c>
      <c r="S563">
        <v>1</v>
      </c>
    </row>
    <row r="564" spans="1:19">
      <c r="A564" t="s">
        <v>903</v>
      </c>
      <c r="B564" s="2">
        <v>45990</v>
      </c>
      <c r="C564" t="s">
        <v>289</v>
      </c>
      <c r="D564" t="s">
        <v>121</v>
      </c>
      <c r="E564" t="s">
        <v>22</v>
      </c>
      <c r="F564">
        <v>38</v>
      </c>
      <c r="G564" t="s">
        <v>73</v>
      </c>
      <c r="H564" t="s">
        <v>74</v>
      </c>
      <c r="I564" t="s">
        <v>25</v>
      </c>
      <c r="J564" t="s">
        <v>56</v>
      </c>
      <c r="K564">
        <v>2</v>
      </c>
      <c r="L564">
        <v>899</v>
      </c>
      <c r="M564" s="3">
        <v>0.15</v>
      </c>
      <c r="N564">
        <v>1528.3</v>
      </c>
      <c r="O564">
        <v>1100</v>
      </c>
      <c r="P564">
        <v>428.3</v>
      </c>
      <c r="Q564" t="s">
        <v>69</v>
      </c>
      <c r="R564" t="s">
        <v>28</v>
      </c>
      <c r="S564">
        <v>3</v>
      </c>
    </row>
    <row r="565" spans="1:19">
      <c r="A565" t="s">
        <v>904</v>
      </c>
      <c r="B565" s="2">
        <v>45667</v>
      </c>
      <c r="C565" t="s">
        <v>264</v>
      </c>
      <c r="D565" t="s">
        <v>265</v>
      </c>
      <c r="E565" t="s">
        <v>22</v>
      </c>
      <c r="F565">
        <v>48</v>
      </c>
      <c r="G565" t="s">
        <v>23</v>
      </c>
      <c r="H565" t="s">
        <v>24</v>
      </c>
      <c r="I565" t="s">
        <v>25</v>
      </c>
      <c r="J565" t="s">
        <v>56</v>
      </c>
      <c r="K565">
        <v>4</v>
      </c>
      <c r="L565">
        <v>899</v>
      </c>
      <c r="M565" s="3">
        <v>0.05</v>
      </c>
      <c r="N565">
        <v>3416.2</v>
      </c>
      <c r="O565">
        <v>2200</v>
      </c>
      <c r="P565">
        <v>1216.2</v>
      </c>
      <c r="Q565" t="s">
        <v>69</v>
      </c>
      <c r="R565" t="s">
        <v>28</v>
      </c>
      <c r="S565">
        <v>4</v>
      </c>
    </row>
    <row r="566" spans="1:19">
      <c r="A566" t="s">
        <v>905</v>
      </c>
      <c r="B566" s="2">
        <v>45819</v>
      </c>
      <c r="C566" t="s">
        <v>315</v>
      </c>
      <c r="D566" t="s">
        <v>305</v>
      </c>
      <c r="E566" t="s">
        <v>22</v>
      </c>
      <c r="F566">
        <v>18</v>
      </c>
      <c r="G566" t="s">
        <v>48</v>
      </c>
      <c r="H566" t="s">
        <v>42</v>
      </c>
      <c r="I566" t="s">
        <v>163</v>
      </c>
      <c r="J566" t="s">
        <v>214</v>
      </c>
      <c r="K566">
        <v>1</v>
      </c>
      <c r="L566">
        <v>1499</v>
      </c>
      <c r="M566" s="3">
        <v>0.05</v>
      </c>
      <c r="N566">
        <v>1424.05</v>
      </c>
      <c r="O566">
        <v>900</v>
      </c>
      <c r="P566">
        <v>524.04999999999995</v>
      </c>
      <c r="Q566" t="s">
        <v>66</v>
      </c>
      <c r="R566" t="s">
        <v>28</v>
      </c>
      <c r="S566">
        <v>5</v>
      </c>
    </row>
    <row r="567" spans="1:19">
      <c r="A567" t="s">
        <v>906</v>
      </c>
      <c r="B567" s="2">
        <v>46022</v>
      </c>
      <c r="C567" t="s">
        <v>175</v>
      </c>
      <c r="D567" t="s">
        <v>176</v>
      </c>
      <c r="E567" t="s">
        <v>32</v>
      </c>
      <c r="F567">
        <v>29</v>
      </c>
      <c r="G567" t="s">
        <v>60</v>
      </c>
      <c r="H567" t="s">
        <v>61</v>
      </c>
      <c r="I567" t="s">
        <v>75</v>
      </c>
      <c r="J567" t="s">
        <v>76</v>
      </c>
      <c r="K567">
        <v>1</v>
      </c>
      <c r="L567">
        <v>399</v>
      </c>
      <c r="M567" s="3">
        <v>0</v>
      </c>
      <c r="N567">
        <v>399</v>
      </c>
      <c r="O567">
        <v>220</v>
      </c>
      <c r="P567">
        <v>179</v>
      </c>
      <c r="Q567" t="s">
        <v>27</v>
      </c>
      <c r="R567" t="s">
        <v>28</v>
      </c>
      <c r="S567">
        <v>1</v>
      </c>
    </row>
    <row r="568" spans="1:19">
      <c r="A568" t="s">
        <v>907</v>
      </c>
      <c r="B568" s="2">
        <v>46229</v>
      </c>
      <c r="C568" t="s">
        <v>169</v>
      </c>
      <c r="D568" t="s">
        <v>170</v>
      </c>
      <c r="E568" t="s">
        <v>32</v>
      </c>
      <c r="F568">
        <v>37</v>
      </c>
      <c r="G568" t="s">
        <v>60</v>
      </c>
      <c r="H568" t="s">
        <v>61</v>
      </c>
      <c r="I568" t="s">
        <v>35</v>
      </c>
      <c r="J568" t="s">
        <v>36</v>
      </c>
      <c r="K568">
        <v>2</v>
      </c>
      <c r="L568">
        <v>599</v>
      </c>
      <c r="M568" s="3">
        <v>0.1</v>
      </c>
      <c r="N568">
        <v>1078.2</v>
      </c>
      <c r="O568">
        <v>640</v>
      </c>
      <c r="P568">
        <v>438.2</v>
      </c>
      <c r="Q568" t="s">
        <v>37</v>
      </c>
      <c r="R568" t="s">
        <v>137</v>
      </c>
      <c r="S568">
        <v>4</v>
      </c>
    </row>
    <row r="569" spans="1:19">
      <c r="A569" t="s">
        <v>908</v>
      </c>
      <c r="B569" s="2">
        <v>45795</v>
      </c>
      <c r="C569" t="s">
        <v>789</v>
      </c>
      <c r="D569" t="s">
        <v>790</v>
      </c>
      <c r="E569" t="s">
        <v>22</v>
      </c>
      <c r="F569">
        <v>21</v>
      </c>
      <c r="G569" t="s">
        <v>141</v>
      </c>
      <c r="H569" t="s">
        <v>142</v>
      </c>
      <c r="I569" t="s">
        <v>25</v>
      </c>
      <c r="J569" t="s">
        <v>156</v>
      </c>
      <c r="K569">
        <v>4</v>
      </c>
      <c r="L569">
        <v>1999</v>
      </c>
      <c r="M569" s="3">
        <v>0.1</v>
      </c>
      <c r="N569">
        <v>7196.4</v>
      </c>
      <c r="O569">
        <v>5200</v>
      </c>
      <c r="P569">
        <v>1996.4</v>
      </c>
      <c r="Q569" t="s">
        <v>37</v>
      </c>
      <c r="R569" t="s">
        <v>77</v>
      </c>
      <c r="S569">
        <v>4</v>
      </c>
    </row>
    <row r="570" spans="1:19">
      <c r="A570" t="s">
        <v>909</v>
      </c>
      <c r="B570" s="2">
        <v>46159</v>
      </c>
      <c r="C570" t="s">
        <v>345</v>
      </c>
      <c r="D570" t="s">
        <v>346</v>
      </c>
      <c r="E570" t="s">
        <v>32</v>
      </c>
      <c r="F570">
        <v>33</v>
      </c>
      <c r="G570" t="s">
        <v>73</v>
      </c>
      <c r="H570" t="s">
        <v>74</v>
      </c>
      <c r="I570" t="s">
        <v>35</v>
      </c>
      <c r="J570" t="s">
        <v>126</v>
      </c>
      <c r="K570">
        <v>3</v>
      </c>
      <c r="L570">
        <v>1499</v>
      </c>
      <c r="M570" s="3">
        <v>0.2</v>
      </c>
      <c r="N570">
        <v>3597.6</v>
      </c>
      <c r="O570">
        <v>2550</v>
      </c>
      <c r="P570">
        <v>1047.5999999999999</v>
      </c>
      <c r="Q570" t="s">
        <v>27</v>
      </c>
      <c r="R570" t="s">
        <v>28</v>
      </c>
      <c r="S570">
        <v>5</v>
      </c>
    </row>
    <row r="571" spans="1:19">
      <c r="A571" t="s">
        <v>910</v>
      </c>
      <c r="B571" s="2">
        <v>46225</v>
      </c>
      <c r="C571" t="s">
        <v>313</v>
      </c>
      <c r="D571" t="s">
        <v>72</v>
      </c>
      <c r="E571" t="s">
        <v>22</v>
      </c>
      <c r="F571">
        <v>45</v>
      </c>
      <c r="G571" t="s">
        <v>41</v>
      </c>
      <c r="H571" t="s">
        <v>42</v>
      </c>
      <c r="I571" t="s">
        <v>163</v>
      </c>
      <c r="J571" t="s">
        <v>164</v>
      </c>
      <c r="K571">
        <v>4</v>
      </c>
      <c r="L571">
        <v>3499</v>
      </c>
      <c r="M571" s="3">
        <v>0.1</v>
      </c>
      <c r="N571">
        <v>12596.4</v>
      </c>
      <c r="O571">
        <v>8800</v>
      </c>
      <c r="P571">
        <v>3796.4</v>
      </c>
      <c r="Q571" t="s">
        <v>27</v>
      </c>
      <c r="R571" t="s">
        <v>28</v>
      </c>
      <c r="S571">
        <v>2</v>
      </c>
    </row>
    <row r="572" spans="1:19">
      <c r="A572" t="s">
        <v>911</v>
      </c>
      <c r="B572" s="2">
        <v>46033</v>
      </c>
      <c r="C572" t="s">
        <v>257</v>
      </c>
      <c r="D572" t="s">
        <v>125</v>
      </c>
      <c r="E572" t="s">
        <v>32</v>
      </c>
      <c r="F572">
        <v>52</v>
      </c>
      <c r="G572" t="s">
        <v>33</v>
      </c>
      <c r="H572" t="s">
        <v>34</v>
      </c>
      <c r="I572" t="s">
        <v>43</v>
      </c>
      <c r="J572" t="s">
        <v>44</v>
      </c>
      <c r="K572">
        <v>3</v>
      </c>
      <c r="L572">
        <v>1599</v>
      </c>
      <c r="M572" s="3">
        <v>0.2</v>
      </c>
      <c r="N572">
        <v>3837.6</v>
      </c>
      <c r="O572">
        <v>2850</v>
      </c>
      <c r="P572">
        <v>987.6</v>
      </c>
      <c r="Q572" t="s">
        <v>66</v>
      </c>
      <c r="R572" t="s">
        <v>28</v>
      </c>
      <c r="S572">
        <v>5</v>
      </c>
    </row>
    <row r="573" spans="1:19">
      <c r="A573" t="s">
        <v>912</v>
      </c>
      <c r="B573" s="2">
        <v>46030</v>
      </c>
      <c r="C573" t="s">
        <v>192</v>
      </c>
      <c r="D573" t="s">
        <v>193</v>
      </c>
      <c r="E573" t="s">
        <v>32</v>
      </c>
      <c r="F573">
        <v>47</v>
      </c>
      <c r="G573" t="s">
        <v>93</v>
      </c>
      <c r="H573" t="s">
        <v>94</v>
      </c>
      <c r="I573" t="s">
        <v>117</v>
      </c>
      <c r="J573" t="s">
        <v>152</v>
      </c>
      <c r="K573">
        <v>2</v>
      </c>
      <c r="L573">
        <v>899</v>
      </c>
      <c r="M573" s="3">
        <v>0</v>
      </c>
      <c r="N573">
        <v>1798</v>
      </c>
      <c r="O573">
        <v>1000</v>
      </c>
      <c r="P573">
        <v>798</v>
      </c>
      <c r="Q573" t="s">
        <v>50</v>
      </c>
      <c r="R573" t="s">
        <v>28</v>
      </c>
      <c r="S573">
        <v>1</v>
      </c>
    </row>
    <row r="574" spans="1:19">
      <c r="A574" t="s">
        <v>913</v>
      </c>
      <c r="B574" s="2">
        <v>46167</v>
      </c>
      <c r="C574" t="s">
        <v>467</v>
      </c>
      <c r="D574" t="s">
        <v>322</v>
      </c>
      <c r="E574" t="s">
        <v>32</v>
      </c>
      <c r="F574">
        <v>41</v>
      </c>
      <c r="G574" t="s">
        <v>55</v>
      </c>
      <c r="H574" t="s">
        <v>34</v>
      </c>
      <c r="I574" t="s">
        <v>163</v>
      </c>
      <c r="J574" t="s">
        <v>290</v>
      </c>
      <c r="K574">
        <v>2</v>
      </c>
      <c r="L574">
        <v>1999</v>
      </c>
      <c r="M574" s="3">
        <v>0.2</v>
      </c>
      <c r="N574">
        <v>3198.4</v>
      </c>
      <c r="O574">
        <v>2400</v>
      </c>
      <c r="P574">
        <v>798.4</v>
      </c>
      <c r="Q574" t="s">
        <v>50</v>
      </c>
      <c r="R574" t="s">
        <v>28</v>
      </c>
      <c r="S574">
        <v>3</v>
      </c>
    </row>
    <row r="575" spans="1:19">
      <c r="A575" t="s">
        <v>914</v>
      </c>
      <c r="B575" s="2">
        <v>45756</v>
      </c>
      <c r="C575" t="s">
        <v>110</v>
      </c>
      <c r="D575" t="s">
        <v>111</v>
      </c>
      <c r="E575" t="s">
        <v>22</v>
      </c>
      <c r="F575">
        <v>47</v>
      </c>
      <c r="G575" t="s">
        <v>48</v>
      </c>
      <c r="H575" t="s">
        <v>42</v>
      </c>
      <c r="I575" t="s">
        <v>163</v>
      </c>
      <c r="J575" t="s">
        <v>234</v>
      </c>
      <c r="K575">
        <v>3</v>
      </c>
      <c r="L575">
        <v>999</v>
      </c>
      <c r="M575" s="3">
        <v>0</v>
      </c>
      <c r="N575">
        <v>2997</v>
      </c>
      <c r="O575">
        <v>1800</v>
      </c>
      <c r="P575">
        <v>1197</v>
      </c>
      <c r="Q575" t="s">
        <v>50</v>
      </c>
      <c r="R575" t="s">
        <v>28</v>
      </c>
      <c r="S575">
        <v>1</v>
      </c>
    </row>
    <row r="576" spans="1:19">
      <c r="A576" t="s">
        <v>915</v>
      </c>
      <c r="B576" s="2">
        <v>45767</v>
      </c>
      <c r="C576" t="s">
        <v>342</v>
      </c>
      <c r="D576" t="s">
        <v>343</v>
      </c>
      <c r="E576" t="s">
        <v>22</v>
      </c>
      <c r="F576">
        <v>23</v>
      </c>
      <c r="G576" t="s">
        <v>48</v>
      </c>
      <c r="H576" t="s">
        <v>42</v>
      </c>
      <c r="I576" t="s">
        <v>43</v>
      </c>
      <c r="J576" t="s">
        <v>95</v>
      </c>
      <c r="K576">
        <v>1</v>
      </c>
      <c r="L576">
        <v>2499</v>
      </c>
      <c r="M576" s="3">
        <v>0.05</v>
      </c>
      <c r="N576">
        <v>2374.0500000000002</v>
      </c>
      <c r="O576">
        <v>1500</v>
      </c>
      <c r="P576">
        <v>874.05</v>
      </c>
      <c r="Q576" t="s">
        <v>66</v>
      </c>
      <c r="R576" t="s">
        <v>28</v>
      </c>
      <c r="S576">
        <v>1</v>
      </c>
    </row>
    <row r="577" spans="1:19">
      <c r="A577" t="s">
        <v>916</v>
      </c>
      <c r="B577" s="2">
        <v>46196</v>
      </c>
      <c r="C577" t="s">
        <v>283</v>
      </c>
      <c r="D577" t="s">
        <v>284</v>
      </c>
      <c r="E577" t="s">
        <v>32</v>
      </c>
      <c r="F577">
        <v>39</v>
      </c>
      <c r="G577" t="s">
        <v>55</v>
      </c>
      <c r="H577" t="s">
        <v>34</v>
      </c>
      <c r="I577" t="s">
        <v>75</v>
      </c>
      <c r="J577" t="s">
        <v>76</v>
      </c>
      <c r="K577">
        <v>4</v>
      </c>
      <c r="L577">
        <v>399</v>
      </c>
      <c r="M577" s="3">
        <v>0.15</v>
      </c>
      <c r="N577">
        <v>1356.6</v>
      </c>
      <c r="O577">
        <v>880</v>
      </c>
      <c r="P577">
        <v>476.6</v>
      </c>
      <c r="Q577" t="s">
        <v>50</v>
      </c>
      <c r="R577" t="s">
        <v>28</v>
      </c>
      <c r="S577">
        <v>3</v>
      </c>
    </row>
    <row r="578" spans="1:19">
      <c r="A578" t="s">
        <v>917</v>
      </c>
      <c r="B578" s="2">
        <v>45730</v>
      </c>
      <c r="C578" t="s">
        <v>506</v>
      </c>
      <c r="D578" t="s">
        <v>414</v>
      </c>
      <c r="E578" t="s">
        <v>22</v>
      </c>
      <c r="F578">
        <v>42</v>
      </c>
      <c r="G578" t="s">
        <v>180</v>
      </c>
      <c r="H578" t="s">
        <v>181</v>
      </c>
      <c r="I578" t="s">
        <v>163</v>
      </c>
      <c r="J578" t="s">
        <v>214</v>
      </c>
      <c r="K578">
        <v>2</v>
      </c>
      <c r="L578">
        <v>1499</v>
      </c>
      <c r="M578" s="3">
        <v>0.2</v>
      </c>
      <c r="N578">
        <v>2398.4</v>
      </c>
      <c r="O578">
        <v>1800</v>
      </c>
      <c r="P578">
        <v>598.4</v>
      </c>
      <c r="Q578" t="s">
        <v>69</v>
      </c>
      <c r="R578" t="s">
        <v>77</v>
      </c>
      <c r="S578">
        <v>2</v>
      </c>
    </row>
    <row r="579" spans="1:19">
      <c r="A579" t="s">
        <v>918</v>
      </c>
      <c r="B579" s="2">
        <v>46027</v>
      </c>
      <c r="C579" t="s">
        <v>64</v>
      </c>
      <c r="D579" t="s">
        <v>65</v>
      </c>
      <c r="E579" t="s">
        <v>32</v>
      </c>
      <c r="F579">
        <v>31</v>
      </c>
      <c r="G579" t="s">
        <v>33</v>
      </c>
      <c r="H579" t="s">
        <v>34</v>
      </c>
      <c r="I579" t="s">
        <v>25</v>
      </c>
      <c r="J579" t="s">
        <v>26</v>
      </c>
      <c r="K579">
        <v>4</v>
      </c>
      <c r="L579">
        <v>2499</v>
      </c>
      <c r="M579" s="3">
        <v>0</v>
      </c>
      <c r="N579">
        <v>9996</v>
      </c>
      <c r="O579">
        <v>6400</v>
      </c>
      <c r="P579">
        <v>3596</v>
      </c>
      <c r="Q579" t="s">
        <v>50</v>
      </c>
      <c r="R579" t="s">
        <v>28</v>
      </c>
      <c r="S579">
        <v>4</v>
      </c>
    </row>
    <row r="580" spans="1:19">
      <c r="A580" t="s">
        <v>919</v>
      </c>
      <c r="B580" s="2">
        <v>45930</v>
      </c>
      <c r="C580" t="s">
        <v>30</v>
      </c>
      <c r="D580" t="s">
        <v>31</v>
      </c>
      <c r="E580" t="s">
        <v>32</v>
      </c>
      <c r="F580">
        <v>29</v>
      </c>
      <c r="G580" t="s">
        <v>33</v>
      </c>
      <c r="H580" t="s">
        <v>34</v>
      </c>
      <c r="I580" t="s">
        <v>117</v>
      </c>
      <c r="J580" t="s">
        <v>238</v>
      </c>
      <c r="K580">
        <v>1</v>
      </c>
      <c r="L580">
        <v>2499</v>
      </c>
      <c r="M580" s="3">
        <v>0.2</v>
      </c>
      <c r="N580">
        <v>1999.2</v>
      </c>
      <c r="O580">
        <v>1500</v>
      </c>
      <c r="P580">
        <v>499.2</v>
      </c>
      <c r="Q580" t="s">
        <v>50</v>
      </c>
      <c r="R580" t="s">
        <v>28</v>
      </c>
      <c r="S580">
        <v>1</v>
      </c>
    </row>
    <row r="581" spans="1:19">
      <c r="A581" t="s">
        <v>920</v>
      </c>
      <c r="B581" s="2">
        <v>45757</v>
      </c>
      <c r="C581" t="s">
        <v>227</v>
      </c>
      <c r="D581" t="s">
        <v>228</v>
      </c>
      <c r="E581" t="s">
        <v>22</v>
      </c>
      <c r="F581">
        <v>24</v>
      </c>
      <c r="G581" t="s">
        <v>93</v>
      </c>
      <c r="H581" t="s">
        <v>94</v>
      </c>
      <c r="I581" t="s">
        <v>25</v>
      </c>
      <c r="J581" t="s">
        <v>26</v>
      </c>
      <c r="K581">
        <v>2</v>
      </c>
      <c r="L581">
        <v>2499</v>
      </c>
      <c r="M581" s="3">
        <v>0.2</v>
      </c>
      <c r="N581">
        <v>3998.4</v>
      </c>
      <c r="O581">
        <v>3200</v>
      </c>
      <c r="P581">
        <v>798.4</v>
      </c>
      <c r="Q581" t="s">
        <v>69</v>
      </c>
      <c r="R581" t="s">
        <v>28</v>
      </c>
      <c r="S581">
        <v>5</v>
      </c>
    </row>
    <row r="582" spans="1:19">
      <c r="A582" t="s">
        <v>921</v>
      </c>
      <c r="B582" s="2">
        <v>45912</v>
      </c>
      <c r="C582" t="s">
        <v>202</v>
      </c>
      <c r="D582" t="s">
        <v>89</v>
      </c>
      <c r="E582" t="s">
        <v>22</v>
      </c>
      <c r="F582">
        <v>50</v>
      </c>
      <c r="G582" t="s">
        <v>93</v>
      </c>
      <c r="H582" t="s">
        <v>94</v>
      </c>
      <c r="I582" t="s">
        <v>43</v>
      </c>
      <c r="J582" t="s">
        <v>49</v>
      </c>
      <c r="K582">
        <v>2</v>
      </c>
      <c r="L582">
        <v>799</v>
      </c>
      <c r="M582" s="3">
        <v>0.2</v>
      </c>
      <c r="N582">
        <v>1278.4000000000001</v>
      </c>
      <c r="O582">
        <v>900</v>
      </c>
      <c r="P582">
        <v>378.4</v>
      </c>
      <c r="Q582" t="s">
        <v>50</v>
      </c>
      <c r="R582" t="s">
        <v>28</v>
      </c>
      <c r="S582">
        <v>2</v>
      </c>
    </row>
    <row r="583" spans="1:19">
      <c r="A583" t="s">
        <v>922</v>
      </c>
      <c r="B583" s="2">
        <v>46248</v>
      </c>
      <c r="C583" t="s">
        <v>427</v>
      </c>
      <c r="D583" t="s">
        <v>248</v>
      </c>
      <c r="E583" t="s">
        <v>32</v>
      </c>
      <c r="F583">
        <v>33</v>
      </c>
      <c r="G583" t="s">
        <v>41</v>
      </c>
      <c r="H583" t="s">
        <v>42</v>
      </c>
      <c r="I583" t="s">
        <v>117</v>
      </c>
      <c r="J583" t="s">
        <v>152</v>
      </c>
      <c r="K583">
        <v>4</v>
      </c>
      <c r="L583">
        <v>899</v>
      </c>
      <c r="M583" s="3">
        <v>0</v>
      </c>
      <c r="N583">
        <v>3596</v>
      </c>
      <c r="O583">
        <v>2000</v>
      </c>
      <c r="P583">
        <v>1596</v>
      </c>
      <c r="Q583" t="s">
        <v>37</v>
      </c>
      <c r="R583" t="s">
        <v>28</v>
      </c>
      <c r="S583">
        <v>4</v>
      </c>
    </row>
    <row r="584" spans="1:19">
      <c r="A584" t="s">
        <v>923</v>
      </c>
      <c r="B584" s="2">
        <v>46069</v>
      </c>
      <c r="C584" t="s">
        <v>595</v>
      </c>
      <c r="D584" t="s">
        <v>596</v>
      </c>
      <c r="E584" t="s">
        <v>22</v>
      </c>
      <c r="F584">
        <v>25</v>
      </c>
      <c r="G584" t="s">
        <v>180</v>
      </c>
      <c r="H584" t="s">
        <v>181</v>
      </c>
      <c r="I584" t="s">
        <v>43</v>
      </c>
      <c r="J584" t="s">
        <v>95</v>
      </c>
      <c r="K584">
        <v>2</v>
      </c>
      <c r="L584">
        <v>2499</v>
      </c>
      <c r="M584" s="3">
        <v>0.2</v>
      </c>
      <c r="N584">
        <v>3998.4</v>
      </c>
      <c r="O584">
        <v>3000</v>
      </c>
      <c r="P584">
        <v>998.4</v>
      </c>
      <c r="Q584" t="s">
        <v>50</v>
      </c>
      <c r="R584" t="s">
        <v>28</v>
      </c>
      <c r="S584">
        <v>2</v>
      </c>
    </row>
    <row r="585" spans="1:19">
      <c r="A585" t="s">
        <v>924</v>
      </c>
      <c r="B585" s="2">
        <v>45980</v>
      </c>
      <c r="C585" t="s">
        <v>58</v>
      </c>
      <c r="D585" t="s">
        <v>59</v>
      </c>
      <c r="E585" t="s">
        <v>32</v>
      </c>
      <c r="F585">
        <v>25</v>
      </c>
      <c r="G585" t="s">
        <v>60</v>
      </c>
      <c r="H585" t="s">
        <v>61</v>
      </c>
      <c r="I585" t="s">
        <v>75</v>
      </c>
      <c r="J585" t="s">
        <v>106</v>
      </c>
      <c r="K585">
        <v>4</v>
      </c>
      <c r="L585">
        <v>899</v>
      </c>
      <c r="M585" s="3">
        <v>0.1</v>
      </c>
      <c r="N585">
        <v>3236.4</v>
      </c>
      <c r="O585">
        <v>2400</v>
      </c>
      <c r="P585">
        <v>836.4</v>
      </c>
      <c r="Q585" t="s">
        <v>50</v>
      </c>
      <c r="R585" t="s">
        <v>51</v>
      </c>
      <c r="S585">
        <v>3</v>
      </c>
    </row>
    <row r="586" spans="1:19">
      <c r="A586" t="s">
        <v>925</v>
      </c>
      <c r="B586" s="2">
        <v>45904</v>
      </c>
      <c r="C586" t="s">
        <v>862</v>
      </c>
      <c r="D586" t="s">
        <v>863</v>
      </c>
      <c r="E586" t="s">
        <v>32</v>
      </c>
      <c r="F586">
        <v>53</v>
      </c>
      <c r="G586" t="s">
        <v>41</v>
      </c>
      <c r="H586" t="s">
        <v>42</v>
      </c>
      <c r="I586" t="s">
        <v>163</v>
      </c>
      <c r="J586" t="s">
        <v>234</v>
      </c>
      <c r="K586">
        <v>4</v>
      </c>
      <c r="L586">
        <v>999</v>
      </c>
      <c r="M586" s="3">
        <v>0.1</v>
      </c>
      <c r="N586">
        <v>3596.4</v>
      </c>
      <c r="O586">
        <v>2400</v>
      </c>
      <c r="P586">
        <v>1196.4000000000001</v>
      </c>
      <c r="Q586" t="s">
        <v>50</v>
      </c>
      <c r="R586" t="s">
        <v>28</v>
      </c>
      <c r="S586">
        <v>4</v>
      </c>
    </row>
    <row r="587" spans="1:19">
      <c r="A587" t="s">
        <v>926</v>
      </c>
      <c r="B587" s="2">
        <v>46121</v>
      </c>
      <c r="C587" t="s">
        <v>397</v>
      </c>
      <c r="D587" t="s">
        <v>284</v>
      </c>
      <c r="E587" t="s">
        <v>22</v>
      </c>
      <c r="F587">
        <v>51</v>
      </c>
      <c r="G587" t="s">
        <v>33</v>
      </c>
      <c r="H587" t="s">
        <v>34</v>
      </c>
      <c r="I587" t="s">
        <v>117</v>
      </c>
      <c r="J587" t="s">
        <v>152</v>
      </c>
      <c r="K587">
        <v>3</v>
      </c>
      <c r="L587">
        <v>899</v>
      </c>
      <c r="M587" s="3">
        <v>0.1</v>
      </c>
      <c r="N587">
        <v>2427.3000000000002</v>
      </c>
      <c r="O587">
        <v>1500</v>
      </c>
      <c r="P587">
        <v>927.3</v>
      </c>
      <c r="Q587" t="s">
        <v>66</v>
      </c>
      <c r="R587" t="s">
        <v>51</v>
      </c>
      <c r="S587">
        <v>1</v>
      </c>
    </row>
    <row r="588" spans="1:19">
      <c r="A588" t="s">
        <v>927</v>
      </c>
      <c r="B588" s="2">
        <v>45796</v>
      </c>
      <c r="C588" t="s">
        <v>236</v>
      </c>
      <c r="D588" t="s">
        <v>237</v>
      </c>
      <c r="E588" t="s">
        <v>32</v>
      </c>
      <c r="F588">
        <v>34</v>
      </c>
      <c r="G588" t="s">
        <v>180</v>
      </c>
      <c r="H588" t="s">
        <v>181</v>
      </c>
      <c r="I588" t="s">
        <v>43</v>
      </c>
      <c r="J588" t="s">
        <v>44</v>
      </c>
      <c r="K588">
        <v>1</v>
      </c>
      <c r="L588">
        <v>1599</v>
      </c>
      <c r="M588" s="3">
        <v>0.2</v>
      </c>
      <c r="N588">
        <v>1279.2</v>
      </c>
      <c r="O588">
        <v>950</v>
      </c>
      <c r="P588">
        <v>329.2</v>
      </c>
      <c r="Q588" t="s">
        <v>37</v>
      </c>
      <c r="R588" t="s">
        <v>28</v>
      </c>
      <c r="S588">
        <v>2</v>
      </c>
    </row>
    <row r="589" spans="1:19">
      <c r="A589" t="s">
        <v>928</v>
      </c>
      <c r="B589" s="2">
        <v>46224</v>
      </c>
      <c r="C589" t="s">
        <v>585</v>
      </c>
      <c r="D589" t="s">
        <v>586</v>
      </c>
      <c r="E589" t="s">
        <v>32</v>
      </c>
      <c r="F589">
        <v>31</v>
      </c>
      <c r="G589" t="s">
        <v>48</v>
      </c>
      <c r="H589" t="s">
        <v>42</v>
      </c>
      <c r="I589" t="s">
        <v>163</v>
      </c>
      <c r="J589" t="s">
        <v>164</v>
      </c>
      <c r="K589">
        <v>1</v>
      </c>
      <c r="L589">
        <v>3499</v>
      </c>
      <c r="M589" s="3">
        <v>0.1</v>
      </c>
      <c r="N589">
        <v>3149.1</v>
      </c>
      <c r="O589">
        <v>2200</v>
      </c>
      <c r="P589">
        <v>949.1</v>
      </c>
      <c r="Q589" t="s">
        <v>50</v>
      </c>
      <c r="R589" t="s">
        <v>28</v>
      </c>
      <c r="S589">
        <v>5</v>
      </c>
    </row>
    <row r="590" spans="1:19">
      <c r="A590" t="s">
        <v>929</v>
      </c>
      <c r="B590" s="2">
        <v>46022</v>
      </c>
      <c r="C590" t="s">
        <v>315</v>
      </c>
      <c r="D590" t="s">
        <v>305</v>
      </c>
      <c r="E590" t="s">
        <v>22</v>
      </c>
      <c r="F590">
        <v>18</v>
      </c>
      <c r="G590" t="s">
        <v>48</v>
      </c>
      <c r="H590" t="s">
        <v>42</v>
      </c>
      <c r="I590" t="s">
        <v>25</v>
      </c>
      <c r="J590" t="s">
        <v>56</v>
      </c>
      <c r="K590">
        <v>1</v>
      </c>
      <c r="L590">
        <v>899</v>
      </c>
      <c r="M590" s="3">
        <v>0.15</v>
      </c>
      <c r="N590">
        <v>764.15</v>
      </c>
      <c r="O590">
        <v>550</v>
      </c>
      <c r="P590">
        <v>214.15</v>
      </c>
      <c r="Q590" t="s">
        <v>27</v>
      </c>
      <c r="R590" t="s">
        <v>28</v>
      </c>
      <c r="S590">
        <v>3</v>
      </c>
    </row>
    <row r="591" spans="1:19">
      <c r="A591" t="s">
        <v>930</v>
      </c>
      <c r="B591" s="2">
        <v>45965</v>
      </c>
      <c r="C591" t="s">
        <v>264</v>
      </c>
      <c r="D591" t="s">
        <v>265</v>
      </c>
      <c r="E591" t="s">
        <v>22</v>
      </c>
      <c r="F591">
        <v>48</v>
      </c>
      <c r="G591" t="s">
        <v>23</v>
      </c>
      <c r="H591" t="s">
        <v>24</v>
      </c>
      <c r="I591" t="s">
        <v>43</v>
      </c>
      <c r="J591" t="s">
        <v>281</v>
      </c>
      <c r="K591">
        <v>2</v>
      </c>
      <c r="L591">
        <v>2999</v>
      </c>
      <c r="M591" s="3">
        <v>0.1</v>
      </c>
      <c r="N591">
        <v>5398.2</v>
      </c>
      <c r="O591">
        <v>3600</v>
      </c>
      <c r="P591">
        <v>1798.2</v>
      </c>
      <c r="Q591" t="s">
        <v>69</v>
      </c>
      <c r="R591" t="s">
        <v>28</v>
      </c>
      <c r="S591">
        <v>5</v>
      </c>
    </row>
    <row r="592" spans="1:19">
      <c r="A592" t="s">
        <v>931</v>
      </c>
      <c r="B592" s="2">
        <v>46152</v>
      </c>
      <c r="C592" t="s">
        <v>289</v>
      </c>
      <c r="D592" t="s">
        <v>121</v>
      </c>
      <c r="E592" t="s">
        <v>22</v>
      </c>
      <c r="F592">
        <v>38</v>
      </c>
      <c r="G592" t="s">
        <v>73</v>
      </c>
      <c r="H592" t="s">
        <v>74</v>
      </c>
      <c r="I592" t="s">
        <v>117</v>
      </c>
      <c r="J592" t="s">
        <v>152</v>
      </c>
      <c r="K592">
        <v>1</v>
      </c>
      <c r="L592">
        <v>899</v>
      </c>
      <c r="M592" s="3">
        <v>0.1</v>
      </c>
      <c r="N592">
        <v>809.1</v>
      </c>
      <c r="O592">
        <v>500</v>
      </c>
      <c r="P592">
        <v>309.10000000000002</v>
      </c>
      <c r="Q592" t="s">
        <v>27</v>
      </c>
      <c r="R592" t="s">
        <v>28</v>
      </c>
      <c r="S592">
        <v>5</v>
      </c>
    </row>
    <row r="593" spans="1:19">
      <c r="A593" t="s">
        <v>932</v>
      </c>
      <c r="B593" s="2">
        <v>46248</v>
      </c>
      <c r="C593" t="s">
        <v>579</v>
      </c>
      <c r="D593" t="s">
        <v>145</v>
      </c>
      <c r="E593" t="s">
        <v>32</v>
      </c>
      <c r="F593">
        <v>22</v>
      </c>
      <c r="G593" t="s">
        <v>141</v>
      </c>
      <c r="H593" t="s">
        <v>142</v>
      </c>
      <c r="I593" t="s">
        <v>75</v>
      </c>
      <c r="J593" t="s">
        <v>106</v>
      </c>
      <c r="K593">
        <v>3</v>
      </c>
      <c r="L593">
        <v>899</v>
      </c>
      <c r="M593" s="3">
        <v>0</v>
      </c>
      <c r="N593">
        <v>2697</v>
      </c>
      <c r="O593">
        <v>1800</v>
      </c>
      <c r="P593">
        <v>897</v>
      </c>
      <c r="Q593" t="s">
        <v>66</v>
      </c>
      <c r="R593" t="s">
        <v>28</v>
      </c>
      <c r="S593">
        <v>1</v>
      </c>
    </row>
    <row r="594" spans="1:19">
      <c r="A594" t="s">
        <v>933</v>
      </c>
      <c r="B594" s="2">
        <v>45781</v>
      </c>
      <c r="C594" t="s">
        <v>723</v>
      </c>
      <c r="D594" t="s">
        <v>724</v>
      </c>
      <c r="E594" t="s">
        <v>32</v>
      </c>
      <c r="F594">
        <v>52</v>
      </c>
      <c r="G594" t="s">
        <v>55</v>
      </c>
      <c r="H594" t="s">
        <v>34</v>
      </c>
      <c r="I594" t="s">
        <v>163</v>
      </c>
      <c r="J594" t="s">
        <v>214</v>
      </c>
      <c r="K594">
        <v>4</v>
      </c>
      <c r="L594">
        <v>1499</v>
      </c>
      <c r="M594" s="3">
        <v>0.15</v>
      </c>
      <c r="N594">
        <v>5096.6000000000004</v>
      </c>
      <c r="O594">
        <v>3600</v>
      </c>
      <c r="P594">
        <v>1496.6</v>
      </c>
      <c r="Q594" t="s">
        <v>27</v>
      </c>
      <c r="R594" t="s">
        <v>28</v>
      </c>
      <c r="S594">
        <v>5</v>
      </c>
    </row>
    <row r="595" spans="1:19">
      <c r="A595" t="s">
        <v>934</v>
      </c>
      <c r="B595" s="2">
        <v>45970</v>
      </c>
      <c r="C595" t="s">
        <v>847</v>
      </c>
      <c r="D595" t="s">
        <v>135</v>
      </c>
      <c r="E595" t="s">
        <v>32</v>
      </c>
      <c r="F595">
        <v>20</v>
      </c>
      <c r="G595" t="s">
        <v>81</v>
      </c>
      <c r="H595" t="s">
        <v>82</v>
      </c>
      <c r="I595" t="s">
        <v>75</v>
      </c>
      <c r="J595" t="s">
        <v>76</v>
      </c>
      <c r="K595">
        <v>4</v>
      </c>
      <c r="L595">
        <v>399</v>
      </c>
      <c r="M595" s="3">
        <v>0</v>
      </c>
      <c r="N595">
        <v>1596</v>
      </c>
      <c r="O595">
        <v>880</v>
      </c>
      <c r="P595">
        <v>716</v>
      </c>
      <c r="Q595" t="s">
        <v>50</v>
      </c>
      <c r="R595" t="s">
        <v>28</v>
      </c>
      <c r="S595">
        <v>5</v>
      </c>
    </row>
    <row r="596" spans="1:19">
      <c r="A596" t="s">
        <v>935</v>
      </c>
      <c r="B596" s="2">
        <v>45884</v>
      </c>
      <c r="C596" t="s">
        <v>287</v>
      </c>
      <c r="D596" t="s">
        <v>190</v>
      </c>
      <c r="E596" t="s">
        <v>32</v>
      </c>
      <c r="F596">
        <v>39</v>
      </c>
      <c r="G596" t="s">
        <v>81</v>
      </c>
      <c r="H596" t="s">
        <v>82</v>
      </c>
      <c r="I596" t="s">
        <v>25</v>
      </c>
      <c r="J596" t="s">
        <v>62</v>
      </c>
      <c r="K596">
        <v>3</v>
      </c>
      <c r="L596">
        <v>1299</v>
      </c>
      <c r="M596" s="3">
        <v>0.2</v>
      </c>
      <c r="N596">
        <v>3117.6</v>
      </c>
      <c r="O596">
        <v>2400</v>
      </c>
      <c r="P596">
        <v>717.6</v>
      </c>
      <c r="Q596" t="s">
        <v>27</v>
      </c>
      <c r="R596" t="s">
        <v>28</v>
      </c>
      <c r="S596">
        <v>4</v>
      </c>
    </row>
    <row r="597" spans="1:19">
      <c r="A597" t="s">
        <v>936</v>
      </c>
      <c r="B597" s="2">
        <v>46100</v>
      </c>
      <c r="C597" t="s">
        <v>317</v>
      </c>
      <c r="D597" t="s">
        <v>318</v>
      </c>
      <c r="E597" t="s">
        <v>22</v>
      </c>
      <c r="F597">
        <v>31</v>
      </c>
      <c r="G597" t="s">
        <v>33</v>
      </c>
      <c r="H597" t="s">
        <v>34</v>
      </c>
      <c r="I597" t="s">
        <v>75</v>
      </c>
      <c r="J597" t="s">
        <v>106</v>
      </c>
      <c r="K597">
        <v>1</v>
      </c>
      <c r="L597">
        <v>899</v>
      </c>
      <c r="M597" s="3">
        <v>0.05</v>
      </c>
      <c r="N597">
        <v>854.05</v>
      </c>
      <c r="O597">
        <v>600</v>
      </c>
      <c r="P597">
        <v>254.05</v>
      </c>
      <c r="Q597" t="s">
        <v>37</v>
      </c>
      <c r="R597" t="s">
        <v>137</v>
      </c>
      <c r="S597">
        <v>2</v>
      </c>
    </row>
    <row r="598" spans="1:19">
      <c r="A598" t="s">
        <v>937</v>
      </c>
      <c r="B598" s="2">
        <v>46243</v>
      </c>
      <c r="C598" t="s">
        <v>342</v>
      </c>
      <c r="D598" t="s">
        <v>343</v>
      </c>
      <c r="E598" t="s">
        <v>22</v>
      </c>
      <c r="F598">
        <v>23</v>
      </c>
      <c r="G598" t="s">
        <v>48</v>
      </c>
      <c r="H598" t="s">
        <v>42</v>
      </c>
      <c r="I598" t="s">
        <v>163</v>
      </c>
      <c r="J598" t="s">
        <v>164</v>
      </c>
      <c r="K598">
        <v>1</v>
      </c>
      <c r="L598">
        <v>3499</v>
      </c>
      <c r="M598" s="3">
        <v>0.15</v>
      </c>
      <c r="N598">
        <v>2974.15</v>
      </c>
      <c r="O598">
        <v>2200</v>
      </c>
      <c r="P598">
        <v>774.15</v>
      </c>
      <c r="Q598" t="s">
        <v>69</v>
      </c>
      <c r="R598" t="s">
        <v>28</v>
      </c>
      <c r="S598">
        <v>3</v>
      </c>
    </row>
    <row r="599" spans="1:19">
      <c r="A599" t="s">
        <v>938</v>
      </c>
      <c r="B599" s="2">
        <v>45796</v>
      </c>
      <c r="C599" t="s">
        <v>801</v>
      </c>
      <c r="D599" t="s">
        <v>225</v>
      </c>
      <c r="E599" t="s">
        <v>32</v>
      </c>
      <c r="F599">
        <v>55</v>
      </c>
      <c r="G599" t="s">
        <v>41</v>
      </c>
      <c r="H599" t="s">
        <v>42</v>
      </c>
      <c r="I599" t="s">
        <v>163</v>
      </c>
      <c r="J599" t="s">
        <v>290</v>
      </c>
      <c r="K599">
        <v>4</v>
      </c>
      <c r="L599">
        <v>1999</v>
      </c>
      <c r="M599" s="3">
        <v>0.05</v>
      </c>
      <c r="N599">
        <v>7596.2</v>
      </c>
      <c r="O599">
        <v>4800</v>
      </c>
      <c r="P599">
        <v>2796.2</v>
      </c>
      <c r="Q599" t="s">
        <v>66</v>
      </c>
      <c r="R599" t="s">
        <v>28</v>
      </c>
      <c r="S599">
        <v>4</v>
      </c>
    </row>
    <row r="600" spans="1:19">
      <c r="A600" t="s">
        <v>939</v>
      </c>
      <c r="B600" s="2">
        <v>46194</v>
      </c>
      <c r="C600" t="s">
        <v>220</v>
      </c>
      <c r="D600" t="s">
        <v>221</v>
      </c>
      <c r="E600" t="s">
        <v>22</v>
      </c>
      <c r="F600">
        <v>27</v>
      </c>
      <c r="G600" t="s">
        <v>141</v>
      </c>
      <c r="H600" t="s">
        <v>142</v>
      </c>
      <c r="I600" t="s">
        <v>75</v>
      </c>
      <c r="J600" t="s">
        <v>76</v>
      </c>
      <c r="K600">
        <v>2</v>
      </c>
      <c r="L600">
        <v>399</v>
      </c>
      <c r="M600" s="3">
        <v>0.2</v>
      </c>
      <c r="N600">
        <v>638.4</v>
      </c>
      <c r="O600">
        <v>440</v>
      </c>
      <c r="P600">
        <v>198.4</v>
      </c>
      <c r="Q600" t="s">
        <v>27</v>
      </c>
      <c r="R600" t="s">
        <v>28</v>
      </c>
      <c r="S600">
        <v>3</v>
      </c>
    </row>
    <row r="601" spans="1:19">
      <c r="A601" t="s">
        <v>940</v>
      </c>
      <c r="B601" s="2">
        <v>46081</v>
      </c>
      <c r="C601" t="s">
        <v>267</v>
      </c>
      <c r="D601" t="s">
        <v>268</v>
      </c>
      <c r="E601" t="s">
        <v>22</v>
      </c>
      <c r="F601">
        <v>35</v>
      </c>
      <c r="G601" t="s">
        <v>141</v>
      </c>
      <c r="H601" t="s">
        <v>142</v>
      </c>
      <c r="I601" t="s">
        <v>163</v>
      </c>
      <c r="J601" t="s">
        <v>164</v>
      </c>
      <c r="K601">
        <v>1</v>
      </c>
      <c r="L601">
        <v>3499</v>
      </c>
      <c r="M601" s="3">
        <v>0</v>
      </c>
      <c r="N601">
        <v>3499</v>
      </c>
      <c r="O601">
        <v>2200</v>
      </c>
      <c r="P601">
        <v>1299</v>
      </c>
      <c r="Q601" t="s">
        <v>66</v>
      </c>
      <c r="R601" t="s">
        <v>28</v>
      </c>
      <c r="S601">
        <v>2</v>
      </c>
    </row>
    <row r="602" spans="1:19">
      <c r="A602" t="s">
        <v>941</v>
      </c>
      <c r="B602" s="2">
        <v>45831</v>
      </c>
      <c r="C602" t="s">
        <v>110</v>
      </c>
      <c r="D602" t="s">
        <v>111</v>
      </c>
      <c r="E602" t="s">
        <v>22</v>
      </c>
      <c r="F602">
        <v>47</v>
      </c>
      <c r="G602" t="s">
        <v>48</v>
      </c>
      <c r="H602" t="s">
        <v>42</v>
      </c>
      <c r="I602" t="s">
        <v>163</v>
      </c>
      <c r="J602" t="s">
        <v>214</v>
      </c>
      <c r="K602">
        <v>1</v>
      </c>
      <c r="L602">
        <v>1499</v>
      </c>
      <c r="M602" s="3">
        <v>0.1</v>
      </c>
      <c r="N602">
        <v>1349.1</v>
      </c>
      <c r="O602">
        <v>900</v>
      </c>
      <c r="P602">
        <v>449.1</v>
      </c>
      <c r="Q602" t="s">
        <v>37</v>
      </c>
      <c r="R602" t="s">
        <v>28</v>
      </c>
      <c r="S602">
        <v>4</v>
      </c>
    </row>
    <row r="603" spans="1:19">
      <c r="A603" t="s">
        <v>942</v>
      </c>
      <c r="B603" s="2">
        <v>45862</v>
      </c>
      <c r="C603" t="s">
        <v>354</v>
      </c>
      <c r="D603" t="s">
        <v>339</v>
      </c>
      <c r="E603" t="s">
        <v>32</v>
      </c>
      <c r="F603">
        <v>25</v>
      </c>
      <c r="G603" t="s">
        <v>115</v>
      </c>
      <c r="H603" t="s">
        <v>116</v>
      </c>
      <c r="I603" t="s">
        <v>35</v>
      </c>
      <c r="J603" t="s">
        <v>136</v>
      </c>
      <c r="K603">
        <v>1</v>
      </c>
      <c r="L603">
        <v>799</v>
      </c>
      <c r="M603" s="3">
        <v>0.05</v>
      </c>
      <c r="N603">
        <v>759.05</v>
      </c>
      <c r="O603">
        <v>450</v>
      </c>
      <c r="P603">
        <v>309.05</v>
      </c>
      <c r="Q603" t="s">
        <v>37</v>
      </c>
      <c r="R603" t="s">
        <v>28</v>
      </c>
      <c r="S603">
        <v>1</v>
      </c>
    </row>
    <row r="604" spans="1:19">
      <c r="A604" t="s">
        <v>943</v>
      </c>
      <c r="B604" s="2">
        <v>45809</v>
      </c>
      <c r="C604" t="s">
        <v>250</v>
      </c>
      <c r="D604" t="s">
        <v>241</v>
      </c>
      <c r="E604" t="s">
        <v>32</v>
      </c>
      <c r="F604">
        <v>18</v>
      </c>
      <c r="G604" t="s">
        <v>251</v>
      </c>
      <c r="H604" t="s">
        <v>251</v>
      </c>
      <c r="I604" t="s">
        <v>117</v>
      </c>
      <c r="J604" t="s">
        <v>152</v>
      </c>
      <c r="K604">
        <v>1</v>
      </c>
      <c r="L604">
        <v>899</v>
      </c>
      <c r="M604" s="3">
        <v>0.05</v>
      </c>
      <c r="N604">
        <v>854.05</v>
      </c>
      <c r="O604">
        <v>500</v>
      </c>
      <c r="P604">
        <v>354.05</v>
      </c>
      <c r="Q604" t="s">
        <v>37</v>
      </c>
      <c r="R604" t="s">
        <v>28</v>
      </c>
      <c r="S604">
        <v>1</v>
      </c>
    </row>
    <row r="605" spans="1:19">
      <c r="A605" t="s">
        <v>944</v>
      </c>
      <c r="B605" s="2">
        <v>45997</v>
      </c>
      <c r="C605" t="s">
        <v>103</v>
      </c>
      <c r="D605" t="s">
        <v>104</v>
      </c>
      <c r="E605" t="s">
        <v>32</v>
      </c>
      <c r="F605">
        <v>27</v>
      </c>
      <c r="G605" t="s">
        <v>105</v>
      </c>
      <c r="H605" t="s">
        <v>105</v>
      </c>
      <c r="I605" t="s">
        <v>35</v>
      </c>
      <c r="J605" t="s">
        <v>136</v>
      </c>
      <c r="K605">
        <v>4</v>
      </c>
      <c r="L605">
        <v>799</v>
      </c>
      <c r="M605" s="3">
        <v>0</v>
      </c>
      <c r="N605">
        <v>3196</v>
      </c>
      <c r="O605">
        <v>1800</v>
      </c>
      <c r="P605">
        <v>1396</v>
      </c>
      <c r="Q605" t="s">
        <v>27</v>
      </c>
      <c r="R605" t="s">
        <v>28</v>
      </c>
      <c r="S605">
        <v>2</v>
      </c>
    </row>
    <row r="606" spans="1:19">
      <c r="A606" t="s">
        <v>945</v>
      </c>
      <c r="B606" s="2">
        <v>46152</v>
      </c>
      <c r="C606" t="s">
        <v>413</v>
      </c>
      <c r="D606" t="s">
        <v>414</v>
      </c>
      <c r="E606" t="s">
        <v>22</v>
      </c>
      <c r="F606">
        <v>42</v>
      </c>
      <c r="G606" t="s">
        <v>33</v>
      </c>
      <c r="H606" t="s">
        <v>34</v>
      </c>
      <c r="I606" t="s">
        <v>35</v>
      </c>
      <c r="J606" t="s">
        <v>126</v>
      </c>
      <c r="K606">
        <v>3</v>
      </c>
      <c r="L606">
        <v>1499</v>
      </c>
      <c r="M606" s="3">
        <v>0.2</v>
      </c>
      <c r="N606">
        <v>3597.6</v>
      </c>
      <c r="O606">
        <v>2550</v>
      </c>
      <c r="P606">
        <v>1047.5999999999999</v>
      </c>
      <c r="Q606" t="s">
        <v>50</v>
      </c>
      <c r="R606" t="s">
        <v>28</v>
      </c>
      <c r="S606">
        <v>2</v>
      </c>
    </row>
    <row r="607" spans="1:19">
      <c r="A607" t="s">
        <v>946</v>
      </c>
      <c r="B607" s="2">
        <v>45832</v>
      </c>
      <c r="C607" t="s">
        <v>20</v>
      </c>
      <c r="D607" t="s">
        <v>21</v>
      </c>
      <c r="E607" t="s">
        <v>22</v>
      </c>
      <c r="F607">
        <v>52</v>
      </c>
      <c r="G607" t="s">
        <v>23</v>
      </c>
      <c r="H607" t="s">
        <v>24</v>
      </c>
      <c r="I607" t="s">
        <v>163</v>
      </c>
      <c r="J607" t="s">
        <v>290</v>
      </c>
      <c r="K607">
        <v>1</v>
      </c>
      <c r="L607">
        <v>1999</v>
      </c>
      <c r="M607" s="3">
        <v>0.1</v>
      </c>
      <c r="N607">
        <v>1799.1</v>
      </c>
      <c r="O607">
        <v>1200</v>
      </c>
      <c r="P607">
        <v>599.1</v>
      </c>
      <c r="Q607" t="s">
        <v>69</v>
      </c>
      <c r="R607" t="s">
        <v>28</v>
      </c>
      <c r="S607">
        <v>5</v>
      </c>
    </row>
    <row r="608" spans="1:19">
      <c r="A608" t="s">
        <v>947</v>
      </c>
      <c r="B608" s="2">
        <v>45726</v>
      </c>
      <c r="C608" t="s">
        <v>39</v>
      </c>
      <c r="D608" t="s">
        <v>40</v>
      </c>
      <c r="E608" t="s">
        <v>22</v>
      </c>
      <c r="F608">
        <v>39</v>
      </c>
      <c r="G608" t="s">
        <v>41</v>
      </c>
      <c r="H608" t="s">
        <v>42</v>
      </c>
      <c r="I608" t="s">
        <v>25</v>
      </c>
      <c r="J608" t="s">
        <v>68</v>
      </c>
      <c r="K608">
        <v>4</v>
      </c>
      <c r="L608">
        <v>2999</v>
      </c>
      <c r="M608" s="3">
        <v>0</v>
      </c>
      <c r="N608">
        <v>11996</v>
      </c>
      <c r="O608">
        <v>7600</v>
      </c>
      <c r="P608">
        <v>4396</v>
      </c>
      <c r="Q608" t="s">
        <v>66</v>
      </c>
      <c r="R608" t="s">
        <v>28</v>
      </c>
      <c r="S608">
        <v>3</v>
      </c>
    </row>
    <row r="609" spans="1:19">
      <c r="A609" t="s">
        <v>948</v>
      </c>
      <c r="B609" s="2">
        <v>45894</v>
      </c>
      <c r="C609" t="s">
        <v>453</v>
      </c>
      <c r="D609" t="s">
        <v>454</v>
      </c>
      <c r="E609" t="s">
        <v>32</v>
      </c>
      <c r="F609">
        <v>25</v>
      </c>
      <c r="G609" t="s">
        <v>141</v>
      </c>
      <c r="H609" t="s">
        <v>142</v>
      </c>
      <c r="I609" t="s">
        <v>25</v>
      </c>
      <c r="J609" t="s">
        <v>156</v>
      </c>
      <c r="K609">
        <v>3</v>
      </c>
      <c r="L609">
        <v>1999</v>
      </c>
      <c r="M609" s="3">
        <v>0.15</v>
      </c>
      <c r="N609">
        <v>5097.45</v>
      </c>
      <c r="O609">
        <v>3900</v>
      </c>
      <c r="P609">
        <v>1197.45</v>
      </c>
      <c r="Q609" t="s">
        <v>66</v>
      </c>
      <c r="R609" t="s">
        <v>28</v>
      </c>
      <c r="S609">
        <v>1</v>
      </c>
    </row>
    <row r="610" spans="1:19">
      <c r="A610" t="s">
        <v>949</v>
      </c>
      <c r="B610" s="2">
        <v>45861</v>
      </c>
      <c r="C610" t="s">
        <v>436</v>
      </c>
      <c r="D610" t="s">
        <v>437</v>
      </c>
      <c r="E610" t="s">
        <v>32</v>
      </c>
      <c r="F610">
        <v>44</v>
      </c>
      <c r="G610" t="s">
        <v>73</v>
      </c>
      <c r="H610" t="s">
        <v>74</v>
      </c>
      <c r="I610" t="s">
        <v>35</v>
      </c>
      <c r="J610" t="s">
        <v>36</v>
      </c>
      <c r="K610">
        <v>1</v>
      </c>
      <c r="L610">
        <v>599</v>
      </c>
      <c r="M610" s="3">
        <v>0.05</v>
      </c>
      <c r="N610">
        <v>569.04999999999995</v>
      </c>
      <c r="O610">
        <v>320</v>
      </c>
      <c r="P610">
        <v>249.05</v>
      </c>
      <c r="Q610" t="s">
        <v>50</v>
      </c>
      <c r="R610" t="s">
        <v>51</v>
      </c>
      <c r="S610">
        <v>5</v>
      </c>
    </row>
    <row r="611" spans="1:19">
      <c r="A611" t="s">
        <v>950</v>
      </c>
      <c r="B611" s="2">
        <v>45970</v>
      </c>
      <c r="C611" t="s">
        <v>113</v>
      </c>
      <c r="D611" t="s">
        <v>114</v>
      </c>
      <c r="E611" t="s">
        <v>32</v>
      </c>
      <c r="F611">
        <v>18</v>
      </c>
      <c r="G611" t="s">
        <v>115</v>
      </c>
      <c r="H611" t="s">
        <v>116</v>
      </c>
      <c r="I611" t="s">
        <v>25</v>
      </c>
      <c r="J611" t="s">
        <v>68</v>
      </c>
      <c r="K611">
        <v>2</v>
      </c>
      <c r="L611">
        <v>2999</v>
      </c>
      <c r="M611" s="3">
        <v>0.2</v>
      </c>
      <c r="N611">
        <v>4798.3999999999996</v>
      </c>
      <c r="O611">
        <v>3800</v>
      </c>
      <c r="P611">
        <v>998.4</v>
      </c>
      <c r="Q611" t="s">
        <v>37</v>
      </c>
      <c r="R611" t="s">
        <v>28</v>
      </c>
      <c r="S611">
        <v>2</v>
      </c>
    </row>
    <row r="612" spans="1:19">
      <c r="A612" t="s">
        <v>951</v>
      </c>
      <c r="B612" s="2">
        <v>45967</v>
      </c>
      <c r="C612" t="s">
        <v>20</v>
      </c>
      <c r="D612" t="s">
        <v>21</v>
      </c>
      <c r="E612" t="s">
        <v>22</v>
      </c>
      <c r="F612">
        <v>52</v>
      </c>
      <c r="G612" t="s">
        <v>23</v>
      </c>
      <c r="H612" t="s">
        <v>24</v>
      </c>
      <c r="I612" t="s">
        <v>163</v>
      </c>
      <c r="J612" t="s">
        <v>214</v>
      </c>
      <c r="K612">
        <v>3</v>
      </c>
      <c r="L612">
        <v>1499</v>
      </c>
      <c r="M612" s="3">
        <v>0.1</v>
      </c>
      <c r="N612">
        <v>4047.3</v>
      </c>
      <c r="O612">
        <v>2700</v>
      </c>
      <c r="P612">
        <v>1347.3</v>
      </c>
      <c r="Q612" t="s">
        <v>27</v>
      </c>
      <c r="R612" t="s">
        <v>51</v>
      </c>
      <c r="S612">
        <v>5</v>
      </c>
    </row>
    <row r="613" spans="1:19">
      <c r="A613" t="s">
        <v>952</v>
      </c>
      <c r="B613" s="2">
        <v>45688</v>
      </c>
      <c r="C613" t="s">
        <v>648</v>
      </c>
      <c r="D613" t="s">
        <v>649</v>
      </c>
      <c r="E613" t="s">
        <v>32</v>
      </c>
      <c r="F613">
        <v>34</v>
      </c>
      <c r="G613" t="s">
        <v>23</v>
      </c>
      <c r="H613" t="s">
        <v>24</v>
      </c>
      <c r="I613" t="s">
        <v>25</v>
      </c>
      <c r="J613" t="s">
        <v>68</v>
      </c>
      <c r="K613">
        <v>3</v>
      </c>
      <c r="L613">
        <v>2999</v>
      </c>
      <c r="M613" s="3">
        <v>0.15</v>
      </c>
      <c r="N613">
        <v>7647.45</v>
      </c>
      <c r="O613">
        <v>5700</v>
      </c>
      <c r="P613">
        <v>1947.45</v>
      </c>
      <c r="Q613" t="s">
        <v>50</v>
      </c>
      <c r="R613" t="s">
        <v>77</v>
      </c>
      <c r="S613">
        <v>2</v>
      </c>
    </row>
    <row r="614" spans="1:19">
      <c r="A614" t="s">
        <v>953</v>
      </c>
      <c r="B614" s="2">
        <v>45747</v>
      </c>
      <c r="C614" t="s">
        <v>158</v>
      </c>
      <c r="D614" t="s">
        <v>159</v>
      </c>
      <c r="E614" t="s">
        <v>32</v>
      </c>
      <c r="F614">
        <v>19</v>
      </c>
      <c r="G614" t="s">
        <v>60</v>
      </c>
      <c r="H614" t="s">
        <v>61</v>
      </c>
      <c r="I614" t="s">
        <v>163</v>
      </c>
      <c r="J614" t="s">
        <v>164</v>
      </c>
      <c r="K614">
        <v>4</v>
      </c>
      <c r="L614">
        <v>3499</v>
      </c>
      <c r="M614" s="3">
        <v>0.05</v>
      </c>
      <c r="N614">
        <v>13296.2</v>
      </c>
      <c r="O614">
        <v>8800</v>
      </c>
      <c r="P614">
        <v>4496.2</v>
      </c>
      <c r="Q614" t="s">
        <v>66</v>
      </c>
      <c r="R614" t="s">
        <v>28</v>
      </c>
      <c r="S614">
        <v>5</v>
      </c>
    </row>
    <row r="615" spans="1:19">
      <c r="A615" t="s">
        <v>954</v>
      </c>
      <c r="B615" s="2">
        <v>45814</v>
      </c>
      <c r="C615" t="s">
        <v>183</v>
      </c>
      <c r="D615" t="s">
        <v>184</v>
      </c>
      <c r="E615" t="s">
        <v>22</v>
      </c>
      <c r="F615">
        <v>43</v>
      </c>
      <c r="G615" t="s">
        <v>60</v>
      </c>
      <c r="H615" t="s">
        <v>61</v>
      </c>
      <c r="I615" t="s">
        <v>163</v>
      </c>
      <c r="J615" t="s">
        <v>234</v>
      </c>
      <c r="K615">
        <v>2</v>
      </c>
      <c r="L615">
        <v>999</v>
      </c>
      <c r="M615" s="3">
        <v>0.2</v>
      </c>
      <c r="N615">
        <v>1598.4</v>
      </c>
      <c r="O615">
        <v>1200</v>
      </c>
      <c r="P615">
        <v>398.4</v>
      </c>
      <c r="Q615" t="s">
        <v>66</v>
      </c>
      <c r="R615" t="s">
        <v>51</v>
      </c>
      <c r="S615">
        <v>5</v>
      </c>
    </row>
    <row r="616" spans="1:19">
      <c r="A616" t="s">
        <v>955</v>
      </c>
      <c r="B616" s="2">
        <v>45799</v>
      </c>
      <c r="C616" t="s">
        <v>247</v>
      </c>
      <c r="D616" t="s">
        <v>248</v>
      </c>
      <c r="E616" t="s">
        <v>32</v>
      </c>
      <c r="F616">
        <v>35</v>
      </c>
      <c r="G616" t="s">
        <v>33</v>
      </c>
      <c r="H616" t="s">
        <v>34</v>
      </c>
      <c r="I616" t="s">
        <v>35</v>
      </c>
      <c r="J616" t="s">
        <v>136</v>
      </c>
      <c r="K616">
        <v>2</v>
      </c>
      <c r="L616">
        <v>799</v>
      </c>
      <c r="M616" s="3">
        <v>0.05</v>
      </c>
      <c r="N616">
        <v>1518.1</v>
      </c>
      <c r="O616">
        <v>900</v>
      </c>
      <c r="P616">
        <v>618.1</v>
      </c>
      <c r="Q616" t="s">
        <v>50</v>
      </c>
      <c r="R616" t="s">
        <v>28</v>
      </c>
      <c r="S616">
        <v>2</v>
      </c>
    </row>
    <row r="617" spans="1:19">
      <c r="A617" t="s">
        <v>956</v>
      </c>
      <c r="B617" s="2">
        <v>45806</v>
      </c>
      <c r="C617" t="s">
        <v>359</v>
      </c>
      <c r="D617" t="s">
        <v>360</v>
      </c>
      <c r="E617" t="s">
        <v>32</v>
      </c>
      <c r="F617">
        <v>51</v>
      </c>
      <c r="G617" t="s">
        <v>251</v>
      </c>
      <c r="H617" t="s">
        <v>251</v>
      </c>
      <c r="I617" t="s">
        <v>43</v>
      </c>
      <c r="J617" t="s">
        <v>44</v>
      </c>
      <c r="K617">
        <v>2</v>
      </c>
      <c r="L617">
        <v>1599</v>
      </c>
      <c r="M617" s="3">
        <v>0.15</v>
      </c>
      <c r="N617">
        <v>2718.3</v>
      </c>
      <c r="O617">
        <v>1900</v>
      </c>
      <c r="P617">
        <v>818.3</v>
      </c>
      <c r="Q617" t="s">
        <v>50</v>
      </c>
      <c r="R617" t="s">
        <v>77</v>
      </c>
      <c r="S617">
        <v>3</v>
      </c>
    </row>
    <row r="618" spans="1:19">
      <c r="A618" t="s">
        <v>957</v>
      </c>
      <c r="B618" s="2">
        <v>45983</v>
      </c>
      <c r="C618" t="s">
        <v>670</v>
      </c>
      <c r="D618" t="s">
        <v>671</v>
      </c>
      <c r="E618" t="s">
        <v>22</v>
      </c>
      <c r="F618">
        <v>38</v>
      </c>
      <c r="G618" t="s">
        <v>180</v>
      </c>
      <c r="H618" t="s">
        <v>181</v>
      </c>
      <c r="I618" t="s">
        <v>35</v>
      </c>
      <c r="J618" t="s">
        <v>126</v>
      </c>
      <c r="K618">
        <v>1</v>
      </c>
      <c r="L618">
        <v>1499</v>
      </c>
      <c r="M618" s="3">
        <v>0.05</v>
      </c>
      <c r="N618">
        <v>1424.05</v>
      </c>
      <c r="O618">
        <v>850</v>
      </c>
      <c r="P618">
        <v>574.04999999999995</v>
      </c>
      <c r="Q618" t="s">
        <v>27</v>
      </c>
      <c r="R618" t="s">
        <v>28</v>
      </c>
      <c r="S618">
        <v>3</v>
      </c>
    </row>
    <row r="619" spans="1:19">
      <c r="A619" t="s">
        <v>958</v>
      </c>
      <c r="B619" s="2">
        <v>45938</v>
      </c>
      <c r="C619" t="s">
        <v>270</v>
      </c>
      <c r="D619" t="s">
        <v>271</v>
      </c>
      <c r="E619" t="s">
        <v>22</v>
      </c>
      <c r="F619">
        <v>51</v>
      </c>
      <c r="G619" t="s">
        <v>48</v>
      </c>
      <c r="H619" t="s">
        <v>42</v>
      </c>
      <c r="I619" t="s">
        <v>163</v>
      </c>
      <c r="J619" t="s">
        <v>234</v>
      </c>
      <c r="K619">
        <v>3</v>
      </c>
      <c r="L619">
        <v>999</v>
      </c>
      <c r="M619" s="3">
        <v>0.15</v>
      </c>
      <c r="N619">
        <v>2547.4499999999998</v>
      </c>
      <c r="O619">
        <v>1800</v>
      </c>
      <c r="P619">
        <v>747.45</v>
      </c>
      <c r="Q619" t="s">
        <v>27</v>
      </c>
      <c r="R619" t="s">
        <v>28</v>
      </c>
      <c r="S619">
        <v>1</v>
      </c>
    </row>
    <row r="620" spans="1:19">
      <c r="A620" t="s">
        <v>959</v>
      </c>
      <c r="B620" s="2">
        <v>45931</v>
      </c>
      <c r="C620" t="s">
        <v>342</v>
      </c>
      <c r="D620" t="s">
        <v>343</v>
      </c>
      <c r="E620" t="s">
        <v>22</v>
      </c>
      <c r="F620">
        <v>23</v>
      </c>
      <c r="G620" t="s">
        <v>48</v>
      </c>
      <c r="H620" t="s">
        <v>42</v>
      </c>
      <c r="I620" t="s">
        <v>43</v>
      </c>
      <c r="J620" t="s">
        <v>95</v>
      </c>
      <c r="K620">
        <v>1</v>
      </c>
      <c r="L620">
        <v>2499</v>
      </c>
      <c r="M620" s="3">
        <v>0.2</v>
      </c>
      <c r="N620">
        <v>1999.2</v>
      </c>
      <c r="O620">
        <v>1500</v>
      </c>
      <c r="P620">
        <v>499.2</v>
      </c>
      <c r="Q620" t="s">
        <v>50</v>
      </c>
      <c r="R620" t="s">
        <v>28</v>
      </c>
      <c r="S620">
        <v>2</v>
      </c>
    </row>
    <row r="621" spans="1:19">
      <c r="A621" t="s">
        <v>960</v>
      </c>
      <c r="B621" s="2">
        <v>45739</v>
      </c>
      <c r="C621" t="s">
        <v>97</v>
      </c>
      <c r="D621" t="s">
        <v>98</v>
      </c>
      <c r="E621" t="s">
        <v>22</v>
      </c>
      <c r="F621">
        <v>23</v>
      </c>
      <c r="G621" t="s">
        <v>48</v>
      </c>
      <c r="H621" t="s">
        <v>42</v>
      </c>
      <c r="I621" t="s">
        <v>43</v>
      </c>
      <c r="J621" t="s">
        <v>281</v>
      </c>
      <c r="K621">
        <v>1</v>
      </c>
      <c r="L621">
        <v>2999</v>
      </c>
      <c r="M621" s="3">
        <v>0.1</v>
      </c>
      <c r="N621">
        <v>2699.1</v>
      </c>
      <c r="O621">
        <v>1800</v>
      </c>
      <c r="P621">
        <v>899.1</v>
      </c>
      <c r="Q621" t="s">
        <v>66</v>
      </c>
      <c r="R621" t="s">
        <v>28</v>
      </c>
      <c r="S621">
        <v>5</v>
      </c>
    </row>
    <row r="622" spans="1:19">
      <c r="A622" t="s">
        <v>961</v>
      </c>
      <c r="B622" s="2">
        <v>46054</v>
      </c>
      <c r="C622" t="s">
        <v>224</v>
      </c>
      <c r="D622" t="s">
        <v>225</v>
      </c>
      <c r="E622" t="s">
        <v>32</v>
      </c>
      <c r="F622">
        <v>19</v>
      </c>
      <c r="G622" t="s">
        <v>33</v>
      </c>
      <c r="H622" t="s">
        <v>34</v>
      </c>
      <c r="I622" t="s">
        <v>117</v>
      </c>
      <c r="J622" t="s">
        <v>238</v>
      </c>
      <c r="K622">
        <v>3</v>
      </c>
      <c r="L622">
        <v>2499</v>
      </c>
      <c r="M622" s="3">
        <v>0.05</v>
      </c>
      <c r="N622">
        <v>7122.15</v>
      </c>
      <c r="O622">
        <v>4500</v>
      </c>
      <c r="P622">
        <v>2622.15</v>
      </c>
      <c r="Q622" t="s">
        <v>66</v>
      </c>
      <c r="R622" t="s">
        <v>28</v>
      </c>
      <c r="S622">
        <v>2</v>
      </c>
    </row>
    <row r="623" spans="1:19">
      <c r="A623" t="s">
        <v>962</v>
      </c>
      <c r="B623" s="2">
        <v>45673</v>
      </c>
      <c r="C623" t="s">
        <v>789</v>
      </c>
      <c r="D623" t="s">
        <v>790</v>
      </c>
      <c r="E623" t="s">
        <v>22</v>
      </c>
      <c r="F623">
        <v>21</v>
      </c>
      <c r="G623" t="s">
        <v>141</v>
      </c>
      <c r="H623" t="s">
        <v>142</v>
      </c>
      <c r="I623" t="s">
        <v>43</v>
      </c>
      <c r="J623" t="s">
        <v>281</v>
      </c>
      <c r="K623">
        <v>1</v>
      </c>
      <c r="L623">
        <v>2999</v>
      </c>
      <c r="M623" s="3">
        <v>0.15</v>
      </c>
      <c r="N623">
        <v>2549.15</v>
      </c>
      <c r="O623">
        <v>1800</v>
      </c>
      <c r="P623">
        <v>749.15</v>
      </c>
      <c r="Q623" t="s">
        <v>37</v>
      </c>
      <c r="R623" t="s">
        <v>51</v>
      </c>
      <c r="S623">
        <v>2</v>
      </c>
    </row>
    <row r="624" spans="1:19">
      <c r="A624" t="s">
        <v>963</v>
      </c>
      <c r="B624" s="2">
        <v>46107</v>
      </c>
      <c r="C624" t="s">
        <v>216</v>
      </c>
      <c r="D624" t="s">
        <v>217</v>
      </c>
      <c r="E624" t="s">
        <v>22</v>
      </c>
      <c r="F624">
        <v>43</v>
      </c>
      <c r="G624" t="s">
        <v>115</v>
      </c>
      <c r="H624" t="s">
        <v>116</v>
      </c>
      <c r="I624" t="s">
        <v>43</v>
      </c>
      <c r="J624" t="s">
        <v>49</v>
      </c>
      <c r="K624">
        <v>1</v>
      </c>
      <c r="L624">
        <v>799</v>
      </c>
      <c r="M624" s="3">
        <v>0.05</v>
      </c>
      <c r="N624">
        <v>759.05</v>
      </c>
      <c r="O624">
        <v>450</v>
      </c>
      <c r="P624">
        <v>309.05</v>
      </c>
      <c r="Q624" t="s">
        <v>50</v>
      </c>
      <c r="R624" t="s">
        <v>28</v>
      </c>
      <c r="S624">
        <v>3</v>
      </c>
    </row>
    <row r="625" spans="1:19">
      <c r="A625" t="s">
        <v>964</v>
      </c>
      <c r="B625" s="2">
        <v>45700</v>
      </c>
      <c r="C625" t="s">
        <v>195</v>
      </c>
      <c r="D625" t="s">
        <v>196</v>
      </c>
      <c r="E625" t="s">
        <v>22</v>
      </c>
      <c r="F625">
        <v>54</v>
      </c>
      <c r="G625" t="s">
        <v>73</v>
      </c>
      <c r="H625" t="s">
        <v>74</v>
      </c>
      <c r="I625" t="s">
        <v>43</v>
      </c>
      <c r="J625" t="s">
        <v>281</v>
      </c>
      <c r="K625">
        <v>4</v>
      </c>
      <c r="L625">
        <v>2999</v>
      </c>
      <c r="M625" s="3">
        <v>0.15</v>
      </c>
      <c r="N625">
        <v>10196.6</v>
      </c>
      <c r="O625">
        <v>7200</v>
      </c>
      <c r="P625">
        <v>2996.6</v>
      </c>
      <c r="Q625" t="s">
        <v>50</v>
      </c>
      <c r="R625" t="s">
        <v>28</v>
      </c>
      <c r="S625">
        <v>4</v>
      </c>
    </row>
    <row r="626" spans="1:19">
      <c r="A626" t="s">
        <v>965</v>
      </c>
      <c r="B626" s="2">
        <v>45769</v>
      </c>
      <c r="C626" t="s">
        <v>436</v>
      </c>
      <c r="D626" t="s">
        <v>437</v>
      </c>
      <c r="E626" t="s">
        <v>32</v>
      </c>
      <c r="F626">
        <v>44</v>
      </c>
      <c r="G626" t="s">
        <v>73</v>
      </c>
      <c r="H626" t="s">
        <v>74</v>
      </c>
      <c r="I626" t="s">
        <v>163</v>
      </c>
      <c r="J626" t="s">
        <v>290</v>
      </c>
      <c r="K626">
        <v>1</v>
      </c>
      <c r="L626">
        <v>1999</v>
      </c>
      <c r="M626" s="3">
        <v>0.2</v>
      </c>
      <c r="N626">
        <v>1599.2</v>
      </c>
      <c r="O626">
        <v>1200</v>
      </c>
      <c r="P626">
        <v>399.2</v>
      </c>
      <c r="Q626" t="s">
        <v>66</v>
      </c>
      <c r="R626" t="s">
        <v>28</v>
      </c>
      <c r="S626">
        <v>1</v>
      </c>
    </row>
    <row r="627" spans="1:19">
      <c r="A627" t="s">
        <v>966</v>
      </c>
      <c r="B627" s="2">
        <v>46229</v>
      </c>
      <c r="C627" t="s">
        <v>189</v>
      </c>
      <c r="D627" t="s">
        <v>190</v>
      </c>
      <c r="E627" t="s">
        <v>32</v>
      </c>
      <c r="F627">
        <v>22</v>
      </c>
      <c r="G627" t="s">
        <v>115</v>
      </c>
      <c r="H627" t="s">
        <v>116</v>
      </c>
      <c r="I627" t="s">
        <v>35</v>
      </c>
      <c r="J627" t="s">
        <v>108</v>
      </c>
      <c r="K627">
        <v>4</v>
      </c>
      <c r="L627">
        <v>699</v>
      </c>
      <c r="M627" s="3">
        <v>0</v>
      </c>
      <c r="N627">
        <v>2796</v>
      </c>
      <c r="O627">
        <v>1520</v>
      </c>
      <c r="P627">
        <v>1276</v>
      </c>
      <c r="Q627" t="s">
        <v>66</v>
      </c>
      <c r="R627" t="s">
        <v>28</v>
      </c>
      <c r="S627">
        <v>1</v>
      </c>
    </row>
    <row r="628" spans="1:19">
      <c r="A628" t="s">
        <v>967</v>
      </c>
      <c r="B628" s="2">
        <v>45969</v>
      </c>
      <c r="C628" t="s">
        <v>603</v>
      </c>
      <c r="D628" t="s">
        <v>604</v>
      </c>
      <c r="E628" t="s">
        <v>32</v>
      </c>
      <c r="F628">
        <v>33</v>
      </c>
      <c r="G628" t="s">
        <v>41</v>
      </c>
      <c r="H628" t="s">
        <v>42</v>
      </c>
      <c r="I628" t="s">
        <v>43</v>
      </c>
      <c r="J628" t="s">
        <v>44</v>
      </c>
      <c r="K628">
        <v>4</v>
      </c>
      <c r="L628">
        <v>1599</v>
      </c>
      <c r="M628" s="3">
        <v>0.15</v>
      </c>
      <c r="N628">
        <v>5436.6</v>
      </c>
      <c r="O628">
        <v>3800</v>
      </c>
      <c r="P628">
        <v>1636.6</v>
      </c>
      <c r="Q628" t="s">
        <v>37</v>
      </c>
      <c r="R628" t="s">
        <v>28</v>
      </c>
      <c r="S628">
        <v>4</v>
      </c>
    </row>
    <row r="629" spans="1:19">
      <c r="A629" t="s">
        <v>968</v>
      </c>
      <c r="B629" s="2">
        <v>45803</v>
      </c>
      <c r="C629" t="s">
        <v>204</v>
      </c>
      <c r="D629" t="s">
        <v>205</v>
      </c>
      <c r="E629" t="s">
        <v>22</v>
      </c>
      <c r="F629">
        <v>45</v>
      </c>
      <c r="G629" t="s">
        <v>81</v>
      </c>
      <c r="H629" t="s">
        <v>82</v>
      </c>
      <c r="I629" t="s">
        <v>75</v>
      </c>
      <c r="J629" t="s">
        <v>106</v>
      </c>
      <c r="K629">
        <v>1</v>
      </c>
      <c r="L629">
        <v>899</v>
      </c>
      <c r="M629" s="3">
        <v>0.2</v>
      </c>
      <c r="N629">
        <v>719.2</v>
      </c>
      <c r="O629">
        <v>600</v>
      </c>
      <c r="P629">
        <v>119.2</v>
      </c>
      <c r="Q629" t="s">
        <v>66</v>
      </c>
      <c r="R629" t="s">
        <v>137</v>
      </c>
      <c r="S629">
        <v>4</v>
      </c>
    </row>
    <row r="630" spans="1:19">
      <c r="A630" t="s">
        <v>969</v>
      </c>
      <c r="B630" s="2">
        <v>46257</v>
      </c>
      <c r="C630" t="s">
        <v>637</v>
      </c>
      <c r="D630" t="s">
        <v>638</v>
      </c>
      <c r="E630" t="s">
        <v>22</v>
      </c>
      <c r="F630">
        <v>25</v>
      </c>
      <c r="G630" t="s">
        <v>141</v>
      </c>
      <c r="H630" t="s">
        <v>142</v>
      </c>
      <c r="I630" t="s">
        <v>117</v>
      </c>
      <c r="J630" t="s">
        <v>152</v>
      </c>
      <c r="K630">
        <v>1</v>
      </c>
      <c r="L630">
        <v>899</v>
      </c>
      <c r="M630" s="3">
        <v>0.05</v>
      </c>
      <c r="N630">
        <v>854.05</v>
      </c>
      <c r="O630">
        <v>500</v>
      </c>
      <c r="P630">
        <v>354.05</v>
      </c>
      <c r="Q630" t="s">
        <v>50</v>
      </c>
      <c r="R630" t="s">
        <v>28</v>
      </c>
      <c r="S630">
        <v>4</v>
      </c>
    </row>
    <row r="631" spans="1:19">
      <c r="A631" t="s">
        <v>970</v>
      </c>
      <c r="B631" s="2">
        <v>46122</v>
      </c>
      <c r="C631" t="s">
        <v>110</v>
      </c>
      <c r="D631" t="s">
        <v>111</v>
      </c>
      <c r="E631" t="s">
        <v>22</v>
      </c>
      <c r="F631">
        <v>47</v>
      </c>
      <c r="G631" t="s">
        <v>48</v>
      </c>
      <c r="H631" t="s">
        <v>42</v>
      </c>
      <c r="I631" t="s">
        <v>35</v>
      </c>
      <c r="J631" t="s">
        <v>136</v>
      </c>
      <c r="K631">
        <v>1</v>
      </c>
      <c r="L631">
        <v>799</v>
      </c>
      <c r="M631" s="3">
        <v>0.05</v>
      </c>
      <c r="N631">
        <v>759.05</v>
      </c>
      <c r="O631">
        <v>450</v>
      </c>
      <c r="P631">
        <v>309.05</v>
      </c>
      <c r="Q631" t="s">
        <v>50</v>
      </c>
      <c r="R631" t="s">
        <v>77</v>
      </c>
      <c r="S631">
        <v>2</v>
      </c>
    </row>
    <row r="632" spans="1:19">
      <c r="A632" t="s">
        <v>971</v>
      </c>
      <c r="B632" s="2">
        <v>45825</v>
      </c>
      <c r="C632" t="s">
        <v>161</v>
      </c>
      <c r="D632" t="s">
        <v>162</v>
      </c>
      <c r="E632" t="s">
        <v>22</v>
      </c>
      <c r="F632">
        <v>44</v>
      </c>
      <c r="G632" t="s">
        <v>146</v>
      </c>
      <c r="H632" t="s">
        <v>61</v>
      </c>
      <c r="I632" t="s">
        <v>25</v>
      </c>
      <c r="J632" t="s">
        <v>26</v>
      </c>
      <c r="K632">
        <v>3</v>
      </c>
      <c r="L632">
        <v>2499</v>
      </c>
      <c r="M632" s="3">
        <v>0.1</v>
      </c>
      <c r="N632">
        <v>6747.3</v>
      </c>
      <c r="O632">
        <v>4800</v>
      </c>
      <c r="P632">
        <v>1947.3</v>
      </c>
      <c r="Q632" t="s">
        <v>69</v>
      </c>
      <c r="R632" t="s">
        <v>28</v>
      </c>
      <c r="S632">
        <v>4</v>
      </c>
    </row>
    <row r="633" spans="1:19">
      <c r="A633" t="s">
        <v>972</v>
      </c>
      <c r="B633" s="2">
        <v>45821</v>
      </c>
      <c r="C633" t="s">
        <v>131</v>
      </c>
      <c r="D633" t="s">
        <v>132</v>
      </c>
      <c r="E633" t="s">
        <v>32</v>
      </c>
      <c r="F633">
        <v>44</v>
      </c>
      <c r="G633" t="s">
        <v>23</v>
      </c>
      <c r="H633" t="s">
        <v>24</v>
      </c>
      <c r="I633" t="s">
        <v>25</v>
      </c>
      <c r="J633" t="s">
        <v>26</v>
      </c>
      <c r="K633">
        <v>4</v>
      </c>
      <c r="L633">
        <v>2499</v>
      </c>
      <c r="M633" s="3">
        <v>0.2</v>
      </c>
      <c r="N633">
        <v>7996.8</v>
      </c>
      <c r="O633">
        <v>6400</v>
      </c>
      <c r="P633">
        <v>1596.8</v>
      </c>
      <c r="Q633" t="s">
        <v>66</v>
      </c>
      <c r="R633" t="s">
        <v>28</v>
      </c>
      <c r="S633">
        <v>1</v>
      </c>
    </row>
    <row r="634" spans="1:19">
      <c r="A634" t="s">
        <v>973</v>
      </c>
      <c r="B634" s="2">
        <v>45806</v>
      </c>
      <c r="C634" t="s">
        <v>407</v>
      </c>
      <c r="D634" t="s">
        <v>408</v>
      </c>
      <c r="E634" t="s">
        <v>32</v>
      </c>
      <c r="F634">
        <v>44</v>
      </c>
      <c r="G634" t="s">
        <v>48</v>
      </c>
      <c r="H634" t="s">
        <v>42</v>
      </c>
      <c r="I634" t="s">
        <v>163</v>
      </c>
      <c r="J634" t="s">
        <v>164</v>
      </c>
      <c r="K634">
        <v>2</v>
      </c>
      <c r="L634">
        <v>3499</v>
      </c>
      <c r="M634" s="3">
        <v>0.05</v>
      </c>
      <c r="N634">
        <v>6648.1</v>
      </c>
      <c r="O634">
        <v>4400</v>
      </c>
      <c r="P634">
        <v>2248.1</v>
      </c>
      <c r="Q634" t="s">
        <v>27</v>
      </c>
      <c r="R634" t="s">
        <v>28</v>
      </c>
      <c r="S634">
        <v>1</v>
      </c>
    </row>
    <row r="635" spans="1:19">
      <c r="A635" t="s">
        <v>974</v>
      </c>
      <c r="B635" s="2">
        <v>45953</v>
      </c>
      <c r="C635" t="s">
        <v>475</v>
      </c>
      <c r="D635" t="s">
        <v>476</v>
      </c>
      <c r="E635" t="s">
        <v>32</v>
      </c>
      <c r="F635">
        <v>51</v>
      </c>
      <c r="G635" t="s">
        <v>141</v>
      </c>
      <c r="H635" t="s">
        <v>142</v>
      </c>
      <c r="I635" t="s">
        <v>43</v>
      </c>
      <c r="J635" t="s">
        <v>44</v>
      </c>
      <c r="K635">
        <v>3</v>
      </c>
      <c r="L635">
        <v>1599</v>
      </c>
      <c r="M635" s="3">
        <v>0.15</v>
      </c>
      <c r="N635">
        <v>4077.45</v>
      </c>
      <c r="O635">
        <v>2850</v>
      </c>
      <c r="P635">
        <v>1227.45</v>
      </c>
      <c r="Q635" t="s">
        <v>27</v>
      </c>
      <c r="R635" t="s">
        <v>28</v>
      </c>
      <c r="S635">
        <v>2</v>
      </c>
    </row>
    <row r="636" spans="1:19">
      <c r="A636" t="s">
        <v>975</v>
      </c>
      <c r="B636" s="2">
        <v>46127</v>
      </c>
      <c r="C636" t="s">
        <v>216</v>
      </c>
      <c r="D636" t="s">
        <v>217</v>
      </c>
      <c r="E636" t="s">
        <v>22</v>
      </c>
      <c r="F636">
        <v>43</v>
      </c>
      <c r="G636" t="s">
        <v>115</v>
      </c>
      <c r="H636" t="s">
        <v>116</v>
      </c>
      <c r="I636" t="s">
        <v>25</v>
      </c>
      <c r="J636" t="s">
        <v>156</v>
      </c>
      <c r="K636">
        <v>3</v>
      </c>
      <c r="L636">
        <v>1999</v>
      </c>
      <c r="M636" s="3">
        <v>0</v>
      </c>
      <c r="N636">
        <v>5997</v>
      </c>
      <c r="O636">
        <v>3900</v>
      </c>
      <c r="P636">
        <v>2097</v>
      </c>
      <c r="Q636" t="s">
        <v>66</v>
      </c>
      <c r="R636" t="s">
        <v>137</v>
      </c>
      <c r="S636">
        <v>1</v>
      </c>
    </row>
    <row r="637" spans="1:19">
      <c r="A637" t="s">
        <v>976</v>
      </c>
      <c r="B637" s="2">
        <v>46145</v>
      </c>
      <c r="C637" t="s">
        <v>230</v>
      </c>
      <c r="D637" t="s">
        <v>231</v>
      </c>
      <c r="E637" t="s">
        <v>32</v>
      </c>
      <c r="F637">
        <v>35</v>
      </c>
      <c r="G637" t="s">
        <v>55</v>
      </c>
      <c r="H637" t="s">
        <v>34</v>
      </c>
      <c r="I637" t="s">
        <v>43</v>
      </c>
      <c r="J637" t="s">
        <v>281</v>
      </c>
      <c r="K637">
        <v>2</v>
      </c>
      <c r="L637">
        <v>2999</v>
      </c>
      <c r="M637" s="3">
        <v>0.2</v>
      </c>
      <c r="N637">
        <v>4798.3999999999996</v>
      </c>
      <c r="O637">
        <v>3600</v>
      </c>
      <c r="P637">
        <v>1198.4000000000001</v>
      </c>
      <c r="Q637" t="s">
        <v>66</v>
      </c>
      <c r="R637" t="s">
        <v>28</v>
      </c>
      <c r="S637">
        <v>1</v>
      </c>
    </row>
    <row r="638" spans="1:19">
      <c r="A638" t="s">
        <v>977</v>
      </c>
      <c r="B638" s="2">
        <v>46228</v>
      </c>
      <c r="C638" t="s">
        <v>300</v>
      </c>
      <c r="D638" t="s">
        <v>301</v>
      </c>
      <c r="E638" t="s">
        <v>22</v>
      </c>
      <c r="F638">
        <v>24</v>
      </c>
      <c r="G638" t="s">
        <v>48</v>
      </c>
      <c r="H638" t="s">
        <v>42</v>
      </c>
      <c r="I638" t="s">
        <v>43</v>
      </c>
      <c r="J638" t="s">
        <v>281</v>
      </c>
      <c r="K638">
        <v>3</v>
      </c>
      <c r="L638">
        <v>2999</v>
      </c>
      <c r="M638" s="3">
        <v>0.2</v>
      </c>
      <c r="N638">
        <v>7197.6</v>
      </c>
      <c r="O638">
        <v>5400</v>
      </c>
      <c r="P638">
        <v>1797.6</v>
      </c>
      <c r="Q638" t="s">
        <v>27</v>
      </c>
      <c r="R638" t="s">
        <v>28</v>
      </c>
      <c r="S638">
        <v>2</v>
      </c>
    </row>
    <row r="639" spans="1:19">
      <c r="A639" t="s">
        <v>978</v>
      </c>
      <c r="B639" s="2">
        <v>45806</v>
      </c>
      <c r="C639" t="s">
        <v>384</v>
      </c>
      <c r="D639" t="s">
        <v>385</v>
      </c>
      <c r="E639" t="s">
        <v>32</v>
      </c>
      <c r="F639">
        <v>22</v>
      </c>
      <c r="G639" t="s">
        <v>48</v>
      </c>
      <c r="H639" t="s">
        <v>42</v>
      </c>
      <c r="I639" t="s">
        <v>75</v>
      </c>
      <c r="J639" t="s">
        <v>76</v>
      </c>
      <c r="K639">
        <v>3</v>
      </c>
      <c r="L639">
        <v>399</v>
      </c>
      <c r="M639" s="3">
        <v>0</v>
      </c>
      <c r="N639">
        <v>1197</v>
      </c>
      <c r="O639">
        <v>660</v>
      </c>
      <c r="P639">
        <v>537</v>
      </c>
      <c r="Q639" t="s">
        <v>69</v>
      </c>
      <c r="R639" t="s">
        <v>28</v>
      </c>
      <c r="S639">
        <v>5</v>
      </c>
    </row>
    <row r="640" spans="1:19">
      <c r="A640" t="s">
        <v>979</v>
      </c>
      <c r="B640" s="2">
        <v>45769</v>
      </c>
      <c r="C640" t="s">
        <v>84</v>
      </c>
      <c r="D640" t="s">
        <v>85</v>
      </c>
      <c r="E640" t="s">
        <v>32</v>
      </c>
      <c r="F640">
        <v>20</v>
      </c>
      <c r="G640" t="s">
        <v>41</v>
      </c>
      <c r="H640" t="s">
        <v>42</v>
      </c>
      <c r="I640" t="s">
        <v>163</v>
      </c>
      <c r="J640" t="s">
        <v>164</v>
      </c>
      <c r="K640">
        <v>1</v>
      </c>
      <c r="L640">
        <v>3499</v>
      </c>
      <c r="M640" s="3">
        <v>0</v>
      </c>
      <c r="N640">
        <v>3499</v>
      </c>
      <c r="O640">
        <v>2200</v>
      </c>
      <c r="P640">
        <v>1299</v>
      </c>
      <c r="Q640" t="s">
        <v>66</v>
      </c>
      <c r="R640" t="s">
        <v>51</v>
      </c>
      <c r="S640">
        <v>2</v>
      </c>
    </row>
    <row r="641" spans="1:19">
      <c r="A641" t="s">
        <v>980</v>
      </c>
      <c r="B641" s="2">
        <v>46250</v>
      </c>
      <c r="C641" t="s">
        <v>53</v>
      </c>
      <c r="D641" t="s">
        <v>54</v>
      </c>
      <c r="E641" t="s">
        <v>22</v>
      </c>
      <c r="F641">
        <v>34</v>
      </c>
      <c r="G641" t="s">
        <v>55</v>
      </c>
      <c r="H641" t="s">
        <v>34</v>
      </c>
      <c r="I641" t="s">
        <v>75</v>
      </c>
      <c r="J641" t="s">
        <v>106</v>
      </c>
      <c r="K641">
        <v>2</v>
      </c>
      <c r="L641">
        <v>899</v>
      </c>
      <c r="M641" s="3">
        <v>0.15</v>
      </c>
      <c r="N641">
        <v>1528.3</v>
      </c>
      <c r="O641">
        <v>1200</v>
      </c>
      <c r="P641">
        <v>328.3</v>
      </c>
      <c r="Q641" t="s">
        <v>37</v>
      </c>
      <c r="R641" t="s">
        <v>77</v>
      </c>
      <c r="S641">
        <v>1</v>
      </c>
    </row>
    <row r="642" spans="1:19">
      <c r="A642" t="s">
        <v>981</v>
      </c>
      <c r="B642" s="2">
        <v>45727</v>
      </c>
      <c r="C642" t="s">
        <v>84</v>
      </c>
      <c r="D642" t="s">
        <v>85</v>
      </c>
      <c r="E642" t="s">
        <v>32</v>
      </c>
      <c r="F642">
        <v>20</v>
      </c>
      <c r="G642" t="s">
        <v>41</v>
      </c>
      <c r="H642" t="s">
        <v>42</v>
      </c>
      <c r="I642" t="s">
        <v>163</v>
      </c>
      <c r="J642" t="s">
        <v>164</v>
      </c>
      <c r="K642">
        <v>3</v>
      </c>
      <c r="L642">
        <v>3499</v>
      </c>
      <c r="M642" s="3">
        <v>0.15</v>
      </c>
      <c r="N642">
        <v>8922.4500000000007</v>
      </c>
      <c r="O642">
        <v>6600</v>
      </c>
      <c r="P642">
        <v>2322.4499999999998</v>
      </c>
      <c r="Q642" t="s">
        <v>66</v>
      </c>
      <c r="R642" t="s">
        <v>137</v>
      </c>
      <c r="S642">
        <v>1</v>
      </c>
    </row>
    <row r="643" spans="1:19">
      <c r="A643" t="s">
        <v>982</v>
      </c>
      <c r="B643" s="2">
        <v>45939</v>
      </c>
      <c r="C643" t="s">
        <v>623</v>
      </c>
      <c r="D643" t="s">
        <v>624</v>
      </c>
      <c r="E643" t="s">
        <v>22</v>
      </c>
      <c r="F643">
        <v>52</v>
      </c>
      <c r="G643" t="s">
        <v>60</v>
      </c>
      <c r="H643" t="s">
        <v>61</v>
      </c>
      <c r="I643" t="s">
        <v>35</v>
      </c>
      <c r="J643" t="s">
        <v>36</v>
      </c>
      <c r="K643">
        <v>2</v>
      </c>
      <c r="L643">
        <v>599</v>
      </c>
      <c r="M643" s="3">
        <v>0</v>
      </c>
      <c r="N643">
        <v>1198</v>
      </c>
      <c r="O643">
        <v>640</v>
      </c>
      <c r="P643">
        <v>558</v>
      </c>
      <c r="Q643" t="s">
        <v>37</v>
      </c>
      <c r="R643" t="s">
        <v>28</v>
      </c>
      <c r="S643">
        <v>5</v>
      </c>
    </row>
    <row r="644" spans="1:19">
      <c r="A644" t="s">
        <v>983</v>
      </c>
      <c r="B644" s="2">
        <v>45717</v>
      </c>
      <c r="C644" t="s">
        <v>88</v>
      </c>
      <c r="D644" t="s">
        <v>89</v>
      </c>
      <c r="E644" t="s">
        <v>32</v>
      </c>
      <c r="F644">
        <v>53</v>
      </c>
      <c r="G644" t="s">
        <v>41</v>
      </c>
      <c r="H644" t="s">
        <v>42</v>
      </c>
      <c r="I644" t="s">
        <v>117</v>
      </c>
      <c r="J644" t="s">
        <v>238</v>
      </c>
      <c r="K644">
        <v>2</v>
      </c>
      <c r="L644">
        <v>2499</v>
      </c>
      <c r="M644" s="3">
        <v>0.2</v>
      </c>
      <c r="N644">
        <v>3998.4</v>
      </c>
      <c r="O644">
        <v>3000</v>
      </c>
      <c r="P644">
        <v>998.4</v>
      </c>
      <c r="Q644" t="s">
        <v>69</v>
      </c>
      <c r="R644" t="s">
        <v>28</v>
      </c>
      <c r="S644">
        <v>5</v>
      </c>
    </row>
    <row r="645" spans="1:19">
      <c r="A645" t="s">
        <v>984</v>
      </c>
      <c r="B645" s="2">
        <v>45982</v>
      </c>
      <c r="C645" t="s">
        <v>692</v>
      </c>
      <c r="D645" t="s">
        <v>343</v>
      </c>
      <c r="E645" t="s">
        <v>22</v>
      </c>
      <c r="F645">
        <v>50</v>
      </c>
      <c r="G645" t="s">
        <v>48</v>
      </c>
      <c r="H645" t="s">
        <v>42</v>
      </c>
      <c r="I645" t="s">
        <v>35</v>
      </c>
      <c r="J645" t="s">
        <v>36</v>
      </c>
      <c r="K645">
        <v>3</v>
      </c>
      <c r="L645">
        <v>599</v>
      </c>
      <c r="M645" s="3">
        <v>0.15</v>
      </c>
      <c r="N645">
        <v>1527.45</v>
      </c>
      <c r="O645">
        <v>960</v>
      </c>
      <c r="P645">
        <v>567.45000000000005</v>
      </c>
      <c r="Q645" t="s">
        <v>37</v>
      </c>
      <c r="R645" t="s">
        <v>28</v>
      </c>
      <c r="S645">
        <v>5</v>
      </c>
    </row>
    <row r="646" spans="1:19">
      <c r="A646" t="s">
        <v>985</v>
      </c>
      <c r="B646" s="2">
        <v>46167</v>
      </c>
      <c r="C646" t="s">
        <v>986</v>
      </c>
      <c r="D646" t="s">
        <v>987</v>
      </c>
      <c r="E646" t="s">
        <v>22</v>
      </c>
      <c r="F646">
        <v>41</v>
      </c>
      <c r="G646" t="s">
        <v>105</v>
      </c>
      <c r="H646" t="s">
        <v>105</v>
      </c>
      <c r="I646" t="s">
        <v>25</v>
      </c>
      <c r="J646" t="s">
        <v>62</v>
      </c>
      <c r="K646">
        <v>4</v>
      </c>
      <c r="L646">
        <v>1299</v>
      </c>
      <c r="M646" s="3">
        <v>0.2</v>
      </c>
      <c r="N646">
        <v>4156.8</v>
      </c>
      <c r="O646">
        <v>3200</v>
      </c>
      <c r="P646">
        <v>956.8</v>
      </c>
      <c r="Q646" t="s">
        <v>66</v>
      </c>
      <c r="R646" t="s">
        <v>137</v>
      </c>
      <c r="S646">
        <v>2</v>
      </c>
    </row>
    <row r="647" spans="1:19">
      <c r="A647" t="s">
        <v>988</v>
      </c>
      <c r="B647" s="2">
        <v>45682</v>
      </c>
      <c r="C647" t="s">
        <v>623</v>
      </c>
      <c r="D647" t="s">
        <v>624</v>
      </c>
      <c r="E647" t="s">
        <v>22</v>
      </c>
      <c r="F647">
        <v>52</v>
      </c>
      <c r="G647" t="s">
        <v>60</v>
      </c>
      <c r="H647" t="s">
        <v>61</v>
      </c>
      <c r="I647" t="s">
        <v>43</v>
      </c>
      <c r="J647" t="s">
        <v>49</v>
      </c>
      <c r="K647">
        <v>1</v>
      </c>
      <c r="L647">
        <v>799</v>
      </c>
      <c r="M647" s="3">
        <v>0</v>
      </c>
      <c r="N647">
        <v>799</v>
      </c>
      <c r="O647">
        <v>450</v>
      </c>
      <c r="P647">
        <v>349</v>
      </c>
      <c r="Q647" t="s">
        <v>66</v>
      </c>
      <c r="R647" t="s">
        <v>28</v>
      </c>
      <c r="S647">
        <v>1</v>
      </c>
    </row>
    <row r="648" spans="1:19">
      <c r="A648" t="s">
        <v>989</v>
      </c>
      <c r="B648" s="2">
        <v>45704</v>
      </c>
      <c r="C648" t="s">
        <v>88</v>
      </c>
      <c r="D648" t="s">
        <v>89</v>
      </c>
      <c r="E648" t="s">
        <v>32</v>
      </c>
      <c r="F648">
        <v>53</v>
      </c>
      <c r="G648" t="s">
        <v>41</v>
      </c>
      <c r="H648" t="s">
        <v>42</v>
      </c>
      <c r="I648" t="s">
        <v>75</v>
      </c>
      <c r="J648" t="s">
        <v>106</v>
      </c>
      <c r="K648">
        <v>4</v>
      </c>
      <c r="L648">
        <v>899</v>
      </c>
      <c r="M648" s="3">
        <v>0.15</v>
      </c>
      <c r="N648">
        <v>3056.6</v>
      </c>
      <c r="O648">
        <v>2400</v>
      </c>
      <c r="P648">
        <v>656.6</v>
      </c>
      <c r="Q648" t="s">
        <v>37</v>
      </c>
      <c r="R648" t="s">
        <v>28</v>
      </c>
      <c r="S648">
        <v>2</v>
      </c>
    </row>
    <row r="649" spans="1:19">
      <c r="A649" t="s">
        <v>990</v>
      </c>
      <c r="B649" s="2">
        <v>45918</v>
      </c>
      <c r="C649" t="s">
        <v>847</v>
      </c>
      <c r="D649" t="s">
        <v>135</v>
      </c>
      <c r="E649" t="s">
        <v>32</v>
      </c>
      <c r="F649">
        <v>20</v>
      </c>
      <c r="G649" t="s">
        <v>81</v>
      </c>
      <c r="H649" t="s">
        <v>82</v>
      </c>
      <c r="I649" t="s">
        <v>75</v>
      </c>
      <c r="J649" t="s">
        <v>76</v>
      </c>
      <c r="K649">
        <v>2</v>
      </c>
      <c r="L649">
        <v>399</v>
      </c>
      <c r="M649" s="3">
        <v>0.1</v>
      </c>
      <c r="N649">
        <v>718.2</v>
      </c>
      <c r="O649">
        <v>440</v>
      </c>
      <c r="P649">
        <v>278.2</v>
      </c>
      <c r="Q649" t="s">
        <v>69</v>
      </c>
      <c r="R649" t="s">
        <v>28</v>
      </c>
      <c r="S649">
        <v>5</v>
      </c>
    </row>
    <row r="650" spans="1:19">
      <c r="A650" t="s">
        <v>991</v>
      </c>
      <c r="B650" s="2">
        <v>45999</v>
      </c>
      <c r="C650" t="s">
        <v>397</v>
      </c>
      <c r="D650" t="s">
        <v>284</v>
      </c>
      <c r="E650" t="s">
        <v>22</v>
      </c>
      <c r="F650">
        <v>51</v>
      </c>
      <c r="G650" t="s">
        <v>33</v>
      </c>
      <c r="H650" t="s">
        <v>34</v>
      </c>
      <c r="I650" t="s">
        <v>163</v>
      </c>
      <c r="J650" t="s">
        <v>164</v>
      </c>
      <c r="K650">
        <v>1</v>
      </c>
      <c r="L650">
        <v>3499</v>
      </c>
      <c r="M650" s="3">
        <v>0</v>
      </c>
      <c r="N650">
        <v>3499</v>
      </c>
      <c r="O650">
        <v>2200</v>
      </c>
      <c r="P650">
        <v>1299</v>
      </c>
      <c r="Q650" t="s">
        <v>37</v>
      </c>
      <c r="R650" t="s">
        <v>28</v>
      </c>
      <c r="S650">
        <v>5</v>
      </c>
    </row>
    <row r="651" spans="1:19">
      <c r="A651" t="s">
        <v>992</v>
      </c>
      <c r="B651" s="2">
        <v>46004</v>
      </c>
      <c r="C651" t="s">
        <v>186</v>
      </c>
      <c r="D651" t="s">
        <v>187</v>
      </c>
      <c r="E651" t="s">
        <v>22</v>
      </c>
      <c r="F651">
        <v>42</v>
      </c>
      <c r="G651" t="s">
        <v>60</v>
      </c>
      <c r="H651" t="s">
        <v>61</v>
      </c>
      <c r="I651" t="s">
        <v>43</v>
      </c>
      <c r="J651" t="s">
        <v>95</v>
      </c>
      <c r="K651">
        <v>2</v>
      </c>
      <c r="L651">
        <v>2499</v>
      </c>
      <c r="M651" s="3">
        <v>0.1</v>
      </c>
      <c r="N651">
        <v>4498.2</v>
      </c>
      <c r="O651">
        <v>3000</v>
      </c>
      <c r="P651">
        <v>1498.2</v>
      </c>
      <c r="Q651" t="s">
        <v>66</v>
      </c>
      <c r="R651" t="s">
        <v>77</v>
      </c>
      <c r="S651">
        <v>1</v>
      </c>
    </row>
    <row r="652" spans="1:19">
      <c r="A652" t="s">
        <v>993</v>
      </c>
      <c r="B652" s="2">
        <v>46207</v>
      </c>
      <c r="C652" t="s">
        <v>422</v>
      </c>
      <c r="D652" t="s">
        <v>423</v>
      </c>
      <c r="E652" t="s">
        <v>22</v>
      </c>
      <c r="F652">
        <v>26</v>
      </c>
      <c r="G652" t="s">
        <v>141</v>
      </c>
      <c r="H652" t="s">
        <v>142</v>
      </c>
      <c r="I652" t="s">
        <v>35</v>
      </c>
      <c r="J652" t="s">
        <v>36</v>
      </c>
      <c r="K652">
        <v>2</v>
      </c>
      <c r="L652">
        <v>599</v>
      </c>
      <c r="M652" s="3">
        <v>0.15</v>
      </c>
      <c r="N652">
        <v>1018.3</v>
      </c>
      <c r="O652">
        <v>640</v>
      </c>
      <c r="P652">
        <v>378.3</v>
      </c>
      <c r="Q652" t="s">
        <v>37</v>
      </c>
      <c r="R652" t="s">
        <v>28</v>
      </c>
      <c r="S652">
        <v>4</v>
      </c>
    </row>
    <row r="653" spans="1:19">
      <c r="A653" t="s">
        <v>994</v>
      </c>
      <c r="B653" s="2">
        <v>45981</v>
      </c>
      <c r="C653" t="s">
        <v>384</v>
      </c>
      <c r="D653" t="s">
        <v>385</v>
      </c>
      <c r="E653" t="s">
        <v>32</v>
      </c>
      <c r="F653">
        <v>22</v>
      </c>
      <c r="G653" t="s">
        <v>48</v>
      </c>
      <c r="H653" t="s">
        <v>42</v>
      </c>
      <c r="I653" t="s">
        <v>35</v>
      </c>
      <c r="J653" t="s">
        <v>108</v>
      </c>
      <c r="K653">
        <v>3</v>
      </c>
      <c r="L653">
        <v>699</v>
      </c>
      <c r="M653" s="3">
        <v>0.2</v>
      </c>
      <c r="N653">
        <v>1677.6</v>
      </c>
      <c r="O653">
        <v>1140</v>
      </c>
      <c r="P653">
        <v>537.6</v>
      </c>
      <c r="Q653" t="s">
        <v>50</v>
      </c>
      <c r="R653" t="s">
        <v>28</v>
      </c>
      <c r="S653">
        <v>2</v>
      </c>
    </row>
    <row r="654" spans="1:19">
      <c r="A654" t="s">
        <v>995</v>
      </c>
      <c r="B654" s="2">
        <v>45725</v>
      </c>
      <c r="C654" t="s">
        <v>71</v>
      </c>
      <c r="D654" t="s">
        <v>72</v>
      </c>
      <c r="E654" t="s">
        <v>32</v>
      </c>
      <c r="F654">
        <v>53</v>
      </c>
      <c r="G654" t="s">
        <v>73</v>
      </c>
      <c r="H654" t="s">
        <v>74</v>
      </c>
      <c r="I654" t="s">
        <v>117</v>
      </c>
      <c r="J654" t="s">
        <v>118</v>
      </c>
      <c r="K654">
        <v>3</v>
      </c>
      <c r="L654">
        <v>999</v>
      </c>
      <c r="M654" s="3">
        <v>0.1</v>
      </c>
      <c r="N654">
        <v>2697.3</v>
      </c>
      <c r="O654">
        <v>1650</v>
      </c>
      <c r="P654">
        <v>1047.3</v>
      </c>
      <c r="Q654" t="s">
        <v>27</v>
      </c>
      <c r="R654" t="s">
        <v>28</v>
      </c>
      <c r="S654">
        <v>1</v>
      </c>
    </row>
    <row r="655" spans="1:19">
      <c r="A655" t="s">
        <v>996</v>
      </c>
      <c r="B655" s="2">
        <v>46056</v>
      </c>
      <c r="C655" t="s">
        <v>175</v>
      </c>
      <c r="D655" t="s">
        <v>176</v>
      </c>
      <c r="E655" t="s">
        <v>32</v>
      </c>
      <c r="F655">
        <v>29</v>
      </c>
      <c r="G655" t="s">
        <v>60</v>
      </c>
      <c r="H655" t="s">
        <v>61</v>
      </c>
      <c r="I655" t="s">
        <v>163</v>
      </c>
      <c r="J655" t="s">
        <v>290</v>
      </c>
      <c r="K655">
        <v>2</v>
      </c>
      <c r="L655">
        <v>1999</v>
      </c>
      <c r="M655" s="3">
        <v>0.2</v>
      </c>
      <c r="N655">
        <v>3198.4</v>
      </c>
      <c r="O655">
        <v>2400</v>
      </c>
      <c r="P655">
        <v>798.4</v>
      </c>
      <c r="Q655" t="s">
        <v>27</v>
      </c>
      <c r="R655" t="s">
        <v>28</v>
      </c>
      <c r="S655">
        <v>3</v>
      </c>
    </row>
    <row r="656" spans="1:19">
      <c r="A656" t="s">
        <v>997</v>
      </c>
      <c r="B656" s="2">
        <v>46081</v>
      </c>
      <c r="C656" t="s">
        <v>436</v>
      </c>
      <c r="D656" t="s">
        <v>437</v>
      </c>
      <c r="E656" t="s">
        <v>32</v>
      </c>
      <c r="F656">
        <v>44</v>
      </c>
      <c r="G656" t="s">
        <v>73</v>
      </c>
      <c r="H656" t="s">
        <v>74</v>
      </c>
      <c r="I656" t="s">
        <v>117</v>
      </c>
      <c r="J656" t="s">
        <v>238</v>
      </c>
      <c r="K656">
        <v>1</v>
      </c>
      <c r="L656">
        <v>2499</v>
      </c>
      <c r="M656" s="3">
        <v>0.1</v>
      </c>
      <c r="N656">
        <v>2249.1</v>
      </c>
      <c r="O656">
        <v>1500</v>
      </c>
      <c r="P656">
        <v>749.1</v>
      </c>
      <c r="Q656" t="s">
        <v>69</v>
      </c>
      <c r="R656" t="s">
        <v>28</v>
      </c>
      <c r="S656">
        <v>2</v>
      </c>
    </row>
    <row r="657" spans="1:19">
      <c r="A657" t="s">
        <v>998</v>
      </c>
      <c r="B657" s="2">
        <v>46195</v>
      </c>
      <c r="C657" t="s">
        <v>862</v>
      </c>
      <c r="D657" t="s">
        <v>863</v>
      </c>
      <c r="E657" t="s">
        <v>32</v>
      </c>
      <c r="F657">
        <v>53</v>
      </c>
      <c r="G657" t="s">
        <v>41</v>
      </c>
      <c r="H657" t="s">
        <v>42</v>
      </c>
      <c r="I657" t="s">
        <v>35</v>
      </c>
      <c r="J657" t="s">
        <v>136</v>
      </c>
      <c r="K657">
        <v>3</v>
      </c>
      <c r="L657">
        <v>799</v>
      </c>
      <c r="M657" s="3">
        <v>0.05</v>
      </c>
      <c r="N657">
        <v>2277.15</v>
      </c>
      <c r="O657">
        <v>1350</v>
      </c>
      <c r="P657">
        <v>927.15</v>
      </c>
      <c r="Q657" t="s">
        <v>37</v>
      </c>
      <c r="R657" t="s">
        <v>28</v>
      </c>
      <c r="S657">
        <v>3</v>
      </c>
    </row>
    <row r="658" spans="1:19">
      <c r="A658" t="s">
        <v>999</v>
      </c>
      <c r="B658" s="2">
        <v>46176</v>
      </c>
      <c r="C658" t="s">
        <v>321</v>
      </c>
      <c r="D658" t="s">
        <v>322</v>
      </c>
      <c r="E658" t="s">
        <v>22</v>
      </c>
      <c r="F658">
        <v>42</v>
      </c>
      <c r="G658" t="s">
        <v>23</v>
      </c>
      <c r="H658" t="s">
        <v>24</v>
      </c>
      <c r="I658" t="s">
        <v>43</v>
      </c>
      <c r="J658" t="s">
        <v>49</v>
      </c>
      <c r="K658">
        <v>1</v>
      </c>
      <c r="L658">
        <v>799</v>
      </c>
      <c r="M658" s="3">
        <v>0.15</v>
      </c>
      <c r="N658">
        <v>679.15</v>
      </c>
      <c r="O658">
        <v>450</v>
      </c>
      <c r="P658">
        <v>229.15</v>
      </c>
      <c r="Q658" t="s">
        <v>69</v>
      </c>
      <c r="R658" t="s">
        <v>137</v>
      </c>
      <c r="S658">
        <v>2</v>
      </c>
    </row>
    <row r="659" spans="1:19">
      <c r="A659" t="s">
        <v>1000</v>
      </c>
      <c r="B659" s="2">
        <v>45975</v>
      </c>
      <c r="C659" t="s">
        <v>603</v>
      </c>
      <c r="D659" t="s">
        <v>604</v>
      </c>
      <c r="E659" t="s">
        <v>32</v>
      </c>
      <c r="F659">
        <v>33</v>
      </c>
      <c r="G659" t="s">
        <v>41</v>
      </c>
      <c r="H659" t="s">
        <v>42</v>
      </c>
      <c r="I659" t="s">
        <v>163</v>
      </c>
      <c r="J659" t="s">
        <v>164</v>
      </c>
      <c r="K659">
        <v>4</v>
      </c>
      <c r="L659">
        <v>3499</v>
      </c>
      <c r="M659" s="3">
        <v>0.2</v>
      </c>
      <c r="N659">
        <v>11196.8</v>
      </c>
      <c r="O659">
        <v>8800</v>
      </c>
      <c r="P659">
        <v>2396.8000000000002</v>
      </c>
      <c r="Q659" t="s">
        <v>37</v>
      </c>
      <c r="R659" t="s">
        <v>28</v>
      </c>
      <c r="S659">
        <v>1</v>
      </c>
    </row>
    <row r="660" spans="1:19">
      <c r="A660" t="s">
        <v>1001</v>
      </c>
      <c r="B660" s="2">
        <v>45695</v>
      </c>
      <c r="C660" t="s">
        <v>351</v>
      </c>
      <c r="D660" t="s">
        <v>352</v>
      </c>
      <c r="E660" t="s">
        <v>32</v>
      </c>
      <c r="F660">
        <v>41</v>
      </c>
      <c r="G660" t="s">
        <v>73</v>
      </c>
      <c r="H660" t="s">
        <v>74</v>
      </c>
      <c r="I660" t="s">
        <v>117</v>
      </c>
      <c r="J660" t="s">
        <v>118</v>
      </c>
      <c r="K660">
        <v>2</v>
      </c>
      <c r="L660">
        <v>999</v>
      </c>
      <c r="M660" s="3">
        <v>0.05</v>
      </c>
      <c r="N660">
        <v>1898.1</v>
      </c>
      <c r="O660">
        <v>1100</v>
      </c>
      <c r="P660">
        <v>798.1</v>
      </c>
      <c r="Q660" t="s">
        <v>66</v>
      </c>
      <c r="R660" t="s">
        <v>28</v>
      </c>
      <c r="S660">
        <v>5</v>
      </c>
    </row>
    <row r="661" spans="1:19">
      <c r="A661" t="s">
        <v>1002</v>
      </c>
      <c r="B661" s="2">
        <v>46266</v>
      </c>
      <c r="C661" t="s">
        <v>254</v>
      </c>
      <c r="D661" t="s">
        <v>255</v>
      </c>
      <c r="E661" t="s">
        <v>22</v>
      </c>
      <c r="F661">
        <v>50</v>
      </c>
      <c r="G661" t="s">
        <v>141</v>
      </c>
      <c r="H661" t="s">
        <v>142</v>
      </c>
      <c r="I661" t="s">
        <v>25</v>
      </c>
      <c r="J661" t="s">
        <v>156</v>
      </c>
      <c r="K661">
        <v>3</v>
      </c>
      <c r="L661">
        <v>1999</v>
      </c>
      <c r="M661" s="3">
        <v>0</v>
      </c>
      <c r="N661">
        <v>5997</v>
      </c>
      <c r="O661">
        <v>3900</v>
      </c>
      <c r="P661">
        <v>2097</v>
      </c>
      <c r="Q661" t="s">
        <v>69</v>
      </c>
      <c r="R661" t="s">
        <v>28</v>
      </c>
      <c r="S661">
        <v>1</v>
      </c>
    </row>
    <row r="662" spans="1:19">
      <c r="A662" t="s">
        <v>1003</v>
      </c>
      <c r="B662" s="2">
        <v>46249</v>
      </c>
      <c r="C662" t="s">
        <v>595</v>
      </c>
      <c r="D662" t="s">
        <v>596</v>
      </c>
      <c r="E662" t="s">
        <v>22</v>
      </c>
      <c r="F662">
        <v>25</v>
      </c>
      <c r="G662" t="s">
        <v>180</v>
      </c>
      <c r="H662" t="s">
        <v>181</v>
      </c>
      <c r="I662" t="s">
        <v>35</v>
      </c>
      <c r="J662" t="s">
        <v>108</v>
      </c>
      <c r="K662">
        <v>3</v>
      </c>
      <c r="L662">
        <v>699</v>
      </c>
      <c r="M662" s="3">
        <v>0</v>
      </c>
      <c r="N662">
        <v>2097</v>
      </c>
      <c r="O662">
        <v>1140</v>
      </c>
      <c r="P662">
        <v>957</v>
      </c>
      <c r="Q662" t="s">
        <v>37</v>
      </c>
      <c r="R662" t="s">
        <v>28</v>
      </c>
      <c r="S662">
        <v>2</v>
      </c>
    </row>
    <row r="663" spans="1:19">
      <c r="A663" t="s">
        <v>1004</v>
      </c>
      <c r="B663" s="2">
        <v>45941</v>
      </c>
      <c r="C663" t="s">
        <v>110</v>
      </c>
      <c r="D663" t="s">
        <v>111</v>
      </c>
      <c r="E663" t="s">
        <v>22</v>
      </c>
      <c r="F663">
        <v>47</v>
      </c>
      <c r="G663" t="s">
        <v>48</v>
      </c>
      <c r="H663" t="s">
        <v>42</v>
      </c>
      <c r="I663" t="s">
        <v>43</v>
      </c>
      <c r="J663" t="s">
        <v>49</v>
      </c>
      <c r="K663">
        <v>2</v>
      </c>
      <c r="L663">
        <v>799</v>
      </c>
      <c r="M663" s="3">
        <v>0.1</v>
      </c>
      <c r="N663">
        <v>1438.2</v>
      </c>
      <c r="O663">
        <v>900</v>
      </c>
      <c r="P663">
        <v>538.20000000000005</v>
      </c>
      <c r="Q663" t="s">
        <v>50</v>
      </c>
      <c r="R663" t="s">
        <v>28</v>
      </c>
      <c r="S663">
        <v>4</v>
      </c>
    </row>
    <row r="664" spans="1:19">
      <c r="A664" t="s">
        <v>1005</v>
      </c>
      <c r="B664" s="2">
        <v>45938</v>
      </c>
      <c r="C664" t="s">
        <v>562</v>
      </c>
      <c r="D664" t="s">
        <v>563</v>
      </c>
      <c r="E664" t="s">
        <v>22</v>
      </c>
      <c r="F664">
        <v>27</v>
      </c>
      <c r="G664" t="s">
        <v>180</v>
      </c>
      <c r="H664" t="s">
        <v>181</v>
      </c>
      <c r="I664" t="s">
        <v>43</v>
      </c>
      <c r="J664" t="s">
        <v>197</v>
      </c>
      <c r="K664">
        <v>2</v>
      </c>
      <c r="L664">
        <v>1799</v>
      </c>
      <c r="M664" s="3">
        <v>0.05</v>
      </c>
      <c r="N664">
        <v>3418.1</v>
      </c>
      <c r="O664">
        <v>2100</v>
      </c>
      <c r="P664">
        <v>1318.1</v>
      </c>
      <c r="Q664" t="s">
        <v>69</v>
      </c>
      <c r="R664" t="s">
        <v>28</v>
      </c>
      <c r="S664">
        <v>5</v>
      </c>
    </row>
    <row r="665" spans="1:19">
      <c r="A665" t="s">
        <v>1006</v>
      </c>
      <c r="B665" s="2">
        <v>46213</v>
      </c>
      <c r="C665" t="s">
        <v>277</v>
      </c>
      <c r="D665" t="s">
        <v>278</v>
      </c>
      <c r="E665" t="s">
        <v>32</v>
      </c>
      <c r="F665">
        <v>33</v>
      </c>
      <c r="G665" t="s">
        <v>105</v>
      </c>
      <c r="H665" t="s">
        <v>105</v>
      </c>
      <c r="I665" t="s">
        <v>35</v>
      </c>
      <c r="J665" t="s">
        <v>108</v>
      </c>
      <c r="K665">
        <v>1</v>
      </c>
      <c r="L665">
        <v>699</v>
      </c>
      <c r="M665" s="3">
        <v>0.05</v>
      </c>
      <c r="N665">
        <v>664.05</v>
      </c>
      <c r="O665">
        <v>380</v>
      </c>
      <c r="P665">
        <v>284.05</v>
      </c>
      <c r="Q665" t="s">
        <v>37</v>
      </c>
      <c r="R665" t="s">
        <v>28</v>
      </c>
      <c r="S665">
        <v>3</v>
      </c>
    </row>
    <row r="666" spans="1:19">
      <c r="A666" t="s">
        <v>1007</v>
      </c>
      <c r="B666" s="2">
        <v>45908</v>
      </c>
      <c r="C666" t="s">
        <v>598</v>
      </c>
      <c r="D666" t="s">
        <v>225</v>
      </c>
      <c r="E666" t="s">
        <v>22</v>
      </c>
      <c r="F666">
        <v>37</v>
      </c>
      <c r="G666" t="s">
        <v>48</v>
      </c>
      <c r="H666" t="s">
        <v>42</v>
      </c>
      <c r="I666" t="s">
        <v>117</v>
      </c>
      <c r="J666" t="s">
        <v>238</v>
      </c>
      <c r="K666">
        <v>3</v>
      </c>
      <c r="L666">
        <v>2499</v>
      </c>
      <c r="M666" s="3">
        <v>0.2</v>
      </c>
      <c r="N666">
        <v>5997.6</v>
      </c>
      <c r="O666">
        <v>4500</v>
      </c>
      <c r="P666">
        <v>1497.6</v>
      </c>
      <c r="Q666" t="s">
        <v>27</v>
      </c>
      <c r="R666" t="s">
        <v>28</v>
      </c>
      <c r="S666">
        <v>5</v>
      </c>
    </row>
    <row r="667" spans="1:19">
      <c r="A667" t="s">
        <v>1008</v>
      </c>
      <c r="B667" s="2">
        <v>45791</v>
      </c>
      <c r="C667" t="s">
        <v>175</v>
      </c>
      <c r="D667" t="s">
        <v>176</v>
      </c>
      <c r="E667" t="s">
        <v>32</v>
      </c>
      <c r="F667">
        <v>29</v>
      </c>
      <c r="G667" t="s">
        <v>60</v>
      </c>
      <c r="H667" t="s">
        <v>61</v>
      </c>
      <c r="I667" t="s">
        <v>35</v>
      </c>
      <c r="J667" t="s">
        <v>126</v>
      </c>
      <c r="K667">
        <v>4</v>
      </c>
      <c r="L667">
        <v>1499</v>
      </c>
      <c r="M667" s="3">
        <v>0</v>
      </c>
      <c r="N667">
        <v>5996</v>
      </c>
      <c r="O667">
        <v>3400</v>
      </c>
      <c r="P667">
        <v>2596</v>
      </c>
      <c r="Q667" t="s">
        <v>69</v>
      </c>
      <c r="R667" t="s">
        <v>28</v>
      </c>
      <c r="S667">
        <v>1</v>
      </c>
    </row>
    <row r="668" spans="1:19">
      <c r="A668" t="s">
        <v>1009</v>
      </c>
      <c r="B668" s="2">
        <v>46094</v>
      </c>
      <c r="C668" t="s">
        <v>453</v>
      </c>
      <c r="D668" t="s">
        <v>454</v>
      </c>
      <c r="E668" t="s">
        <v>32</v>
      </c>
      <c r="F668">
        <v>25</v>
      </c>
      <c r="G668" t="s">
        <v>141</v>
      </c>
      <c r="H668" t="s">
        <v>142</v>
      </c>
      <c r="I668" t="s">
        <v>163</v>
      </c>
      <c r="J668" t="s">
        <v>290</v>
      </c>
      <c r="K668">
        <v>1</v>
      </c>
      <c r="L668">
        <v>1999</v>
      </c>
      <c r="M668" s="3">
        <v>0</v>
      </c>
      <c r="N668">
        <v>1999</v>
      </c>
      <c r="O668">
        <v>1200</v>
      </c>
      <c r="P668">
        <v>799</v>
      </c>
      <c r="Q668" t="s">
        <v>66</v>
      </c>
      <c r="R668" t="s">
        <v>28</v>
      </c>
      <c r="S668">
        <v>5</v>
      </c>
    </row>
    <row r="669" spans="1:19">
      <c r="A669" t="s">
        <v>1010</v>
      </c>
      <c r="B669" s="2">
        <v>45998</v>
      </c>
      <c r="C669" t="s">
        <v>317</v>
      </c>
      <c r="D669" t="s">
        <v>318</v>
      </c>
      <c r="E669" t="s">
        <v>22</v>
      </c>
      <c r="F669">
        <v>31</v>
      </c>
      <c r="G669" t="s">
        <v>33</v>
      </c>
      <c r="H669" t="s">
        <v>34</v>
      </c>
      <c r="I669" t="s">
        <v>75</v>
      </c>
      <c r="J669" t="s">
        <v>106</v>
      </c>
      <c r="K669">
        <v>3</v>
      </c>
      <c r="L669">
        <v>899</v>
      </c>
      <c r="M669" s="3">
        <v>0.1</v>
      </c>
      <c r="N669">
        <v>2427.3000000000002</v>
      </c>
      <c r="O669">
        <v>1800</v>
      </c>
      <c r="P669">
        <v>627.29999999999995</v>
      </c>
      <c r="Q669" t="s">
        <v>27</v>
      </c>
      <c r="R669" t="s">
        <v>28</v>
      </c>
      <c r="S669">
        <v>5</v>
      </c>
    </row>
    <row r="670" spans="1:19">
      <c r="A670" t="s">
        <v>1011</v>
      </c>
      <c r="B670" s="2">
        <v>46137</v>
      </c>
      <c r="C670" t="s">
        <v>295</v>
      </c>
      <c r="D670" t="s">
        <v>296</v>
      </c>
      <c r="E670" t="s">
        <v>22</v>
      </c>
      <c r="F670">
        <v>33</v>
      </c>
      <c r="G670" t="s">
        <v>41</v>
      </c>
      <c r="H670" t="s">
        <v>42</v>
      </c>
      <c r="I670" t="s">
        <v>35</v>
      </c>
      <c r="J670" t="s">
        <v>136</v>
      </c>
      <c r="K670">
        <v>2</v>
      </c>
      <c r="L670">
        <v>799</v>
      </c>
      <c r="M670" s="3">
        <v>0</v>
      </c>
      <c r="N670">
        <v>1598</v>
      </c>
      <c r="O670">
        <v>900</v>
      </c>
      <c r="P670">
        <v>698</v>
      </c>
      <c r="Q670" t="s">
        <v>69</v>
      </c>
      <c r="R670" t="s">
        <v>28</v>
      </c>
      <c r="S670">
        <v>4</v>
      </c>
    </row>
    <row r="671" spans="1:19">
      <c r="A671" t="s">
        <v>1012</v>
      </c>
      <c r="B671" s="2">
        <v>45922</v>
      </c>
      <c r="C671" t="s">
        <v>224</v>
      </c>
      <c r="D671" t="s">
        <v>225</v>
      </c>
      <c r="E671" t="s">
        <v>32</v>
      </c>
      <c r="F671">
        <v>19</v>
      </c>
      <c r="G671" t="s">
        <v>33</v>
      </c>
      <c r="H671" t="s">
        <v>34</v>
      </c>
      <c r="I671" t="s">
        <v>43</v>
      </c>
      <c r="J671" t="s">
        <v>281</v>
      </c>
      <c r="K671">
        <v>2</v>
      </c>
      <c r="L671">
        <v>2999</v>
      </c>
      <c r="M671" s="3">
        <v>0.05</v>
      </c>
      <c r="N671">
        <v>5698.1</v>
      </c>
      <c r="O671">
        <v>3600</v>
      </c>
      <c r="P671">
        <v>2098.1</v>
      </c>
      <c r="Q671" t="s">
        <v>37</v>
      </c>
      <c r="R671" t="s">
        <v>28</v>
      </c>
      <c r="S671">
        <v>3</v>
      </c>
    </row>
    <row r="672" spans="1:19">
      <c r="A672" t="s">
        <v>1013</v>
      </c>
      <c r="B672" s="2">
        <v>45724</v>
      </c>
      <c r="C672" t="s">
        <v>532</v>
      </c>
      <c r="D672" t="s">
        <v>533</v>
      </c>
      <c r="E672" t="s">
        <v>22</v>
      </c>
      <c r="F672">
        <v>32</v>
      </c>
      <c r="G672" t="s">
        <v>180</v>
      </c>
      <c r="H672" t="s">
        <v>181</v>
      </c>
      <c r="I672" t="s">
        <v>35</v>
      </c>
      <c r="J672" t="s">
        <v>136</v>
      </c>
      <c r="K672">
        <v>4</v>
      </c>
      <c r="L672">
        <v>799</v>
      </c>
      <c r="M672" s="3">
        <v>0</v>
      </c>
      <c r="N672">
        <v>3196</v>
      </c>
      <c r="O672">
        <v>1800</v>
      </c>
      <c r="P672">
        <v>1396</v>
      </c>
      <c r="Q672" t="s">
        <v>66</v>
      </c>
      <c r="R672" t="s">
        <v>28</v>
      </c>
      <c r="S672">
        <v>4</v>
      </c>
    </row>
    <row r="673" spans="1:19">
      <c r="A673" t="s">
        <v>1014</v>
      </c>
      <c r="B673" s="2">
        <v>46246</v>
      </c>
      <c r="C673" t="s">
        <v>144</v>
      </c>
      <c r="D673" t="s">
        <v>145</v>
      </c>
      <c r="E673" t="s">
        <v>32</v>
      </c>
      <c r="F673">
        <v>37</v>
      </c>
      <c r="G673" t="s">
        <v>146</v>
      </c>
      <c r="H673" t="s">
        <v>61</v>
      </c>
      <c r="I673" t="s">
        <v>43</v>
      </c>
      <c r="J673" t="s">
        <v>95</v>
      </c>
      <c r="K673">
        <v>3</v>
      </c>
      <c r="L673">
        <v>2499</v>
      </c>
      <c r="M673" s="3">
        <v>0.1</v>
      </c>
      <c r="N673">
        <v>6747.3</v>
      </c>
      <c r="O673">
        <v>4500</v>
      </c>
      <c r="P673">
        <v>2247.3000000000002</v>
      </c>
      <c r="Q673" t="s">
        <v>27</v>
      </c>
      <c r="R673" t="s">
        <v>28</v>
      </c>
      <c r="S673">
        <v>4</v>
      </c>
    </row>
    <row r="674" spans="1:19">
      <c r="A674" t="s">
        <v>1015</v>
      </c>
      <c r="B674" s="2">
        <v>46203</v>
      </c>
      <c r="C674" t="s">
        <v>453</v>
      </c>
      <c r="D674" t="s">
        <v>454</v>
      </c>
      <c r="E674" t="s">
        <v>32</v>
      </c>
      <c r="F674">
        <v>25</v>
      </c>
      <c r="G674" t="s">
        <v>141</v>
      </c>
      <c r="H674" t="s">
        <v>142</v>
      </c>
      <c r="I674" t="s">
        <v>163</v>
      </c>
      <c r="J674" t="s">
        <v>164</v>
      </c>
      <c r="K674">
        <v>1</v>
      </c>
      <c r="L674">
        <v>3499</v>
      </c>
      <c r="M674" s="3">
        <v>0.1</v>
      </c>
      <c r="N674">
        <v>3149.1</v>
      </c>
      <c r="O674">
        <v>2200</v>
      </c>
      <c r="P674">
        <v>949.1</v>
      </c>
      <c r="Q674" t="s">
        <v>66</v>
      </c>
      <c r="R674" t="s">
        <v>28</v>
      </c>
      <c r="S674">
        <v>4</v>
      </c>
    </row>
    <row r="675" spans="1:19">
      <c r="A675" t="s">
        <v>1016</v>
      </c>
      <c r="B675" s="2">
        <v>45820</v>
      </c>
      <c r="C675" t="s">
        <v>363</v>
      </c>
      <c r="D675" t="s">
        <v>155</v>
      </c>
      <c r="E675" t="s">
        <v>32</v>
      </c>
      <c r="F675">
        <v>43</v>
      </c>
      <c r="G675" t="s">
        <v>48</v>
      </c>
      <c r="H675" t="s">
        <v>42</v>
      </c>
      <c r="I675" t="s">
        <v>75</v>
      </c>
      <c r="J675" t="s">
        <v>106</v>
      </c>
      <c r="K675">
        <v>2</v>
      </c>
      <c r="L675">
        <v>899</v>
      </c>
      <c r="M675" s="3">
        <v>0.2</v>
      </c>
      <c r="N675">
        <v>1438.4</v>
      </c>
      <c r="O675">
        <v>1200</v>
      </c>
      <c r="P675">
        <v>238.4</v>
      </c>
      <c r="Q675" t="s">
        <v>66</v>
      </c>
      <c r="R675" t="s">
        <v>28</v>
      </c>
      <c r="S675">
        <v>3</v>
      </c>
    </row>
    <row r="676" spans="1:19">
      <c r="A676" t="s">
        <v>1017</v>
      </c>
      <c r="B676" s="2">
        <v>46238</v>
      </c>
      <c r="C676" t="s">
        <v>88</v>
      </c>
      <c r="D676" t="s">
        <v>89</v>
      </c>
      <c r="E676" t="s">
        <v>32</v>
      </c>
      <c r="F676">
        <v>53</v>
      </c>
      <c r="G676" t="s">
        <v>41</v>
      </c>
      <c r="H676" t="s">
        <v>42</v>
      </c>
      <c r="I676" t="s">
        <v>117</v>
      </c>
      <c r="J676" t="s">
        <v>238</v>
      </c>
      <c r="K676">
        <v>4</v>
      </c>
      <c r="L676">
        <v>2499</v>
      </c>
      <c r="M676" s="3">
        <v>0.15</v>
      </c>
      <c r="N676">
        <v>8496.6</v>
      </c>
      <c r="O676">
        <v>6000</v>
      </c>
      <c r="P676">
        <v>2496.6</v>
      </c>
      <c r="Q676" t="s">
        <v>37</v>
      </c>
      <c r="R676" t="s">
        <v>28</v>
      </c>
      <c r="S676">
        <v>2</v>
      </c>
    </row>
    <row r="677" spans="1:19">
      <c r="A677" t="s">
        <v>1018</v>
      </c>
      <c r="B677" s="2">
        <v>46156</v>
      </c>
      <c r="C677" t="s">
        <v>458</v>
      </c>
      <c r="D677" t="s">
        <v>459</v>
      </c>
      <c r="E677" t="s">
        <v>32</v>
      </c>
      <c r="F677">
        <v>40</v>
      </c>
      <c r="G677" t="s">
        <v>60</v>
      </c>
      <c r="H677" t="s">
        <v>61</v>
      </c>
      <c r="I677" t="s">
        <v>117</v>
      </c>
      <c r="J677" t="s">
        <v>118</v>
      </c>
      <c r="K677">
        <v>1</v>
      </c>
      <c r="L677">
        <v>999</v>
      </c>
      <c r="M677" s="3">
        <v>0.2</v>
      </c>
      <c r="N677">
        <v>799.2</v>
      </c>
      <c r="O677">
        <v>550</v>
      </c>
      <c r="P677">
        <v>249.2</v>
      </c>
      <c r="Q677" t="s">
        <v>69</v>
      </c>
      <c r="R677" t="s">
        <v>28</v>
      </c>
      <c r="S677">
        <v>4</v>
      </c>
    </row>
    <row r="678" spans="1:19">
      <c r="A678" t="s">
        <v>1019</v>
      </c>
      <c r="B678" s="2">
        <v>45838</v>
      </c>
      <c r="C678" t="s">
        <v>532</v>
      </c>
      <c r="D678" t="s">
        <v>533</v>
      </c>
      <c r="E678" t="s">
        <v>22</v>
      </c>
      <c r="F678">
        <v>32</v>
      </c>
      <c r="G678" t="s">
        <v>180</v>
      </c>
      <c r="H678" t="s">
        <v>181</v>
      </c>
      <c r="I678" t="s">
        <v>35</v>
      </c>
      <c r="J678" t="s">
        <v>126</v>
      </c>
      <c r="K678">
        <v>1</v>
      </c>
      <c r="L678">
        <v>1499</v>
      </c>
      <c r="M678" s="3">
        <v>0.15</v>
      </c>
      <c r="N678">
        <v>1274.1500000000001</v>
      </c>
      <c r="O678">
        <v>850</v>
      </c>
      <c r="P678">
        <v>424.15</v>
      </c>
      <c r="Q678" t="s">
        <v>37</v>
      </c>
      <c r="R678" t="s">
        <v>51</v>
      </c>
      <c r="S678">
        <v>1</v>
      </c>
    </row>
    <row r="679" spans="1:19">
      <c r="A679" t="s">
        <v>1020</v>
      </c>
      <c r="B679" s="2">
        <v>46164</v>
      </c>
      <c r="C679" t="s">
        <v>453</v>
      </c>
      <c r="D679" t="s">
        <v>454</v>
      </c>
      <c r="E679" t="s">
        <v>32</v>
      </c>
      <c r="F679">
        <v>25</v>
      </c>
      <c r="G679" t="s">
        <v>141</v>
      </c>
      <c r="H679" t="s">
        <v>142</v>
      </c>
      <c r="I679" t="s">
        <v>117</v>
      </c>
      <c r="J679" t="s">
        <v>118</v>
      </c>
      <c r="K679">
        <v>4</v>
      </c>
      <c r="L679">
        <v>999</v>
      </c>
      <c r="M679" s="3">
        <v>0.1</v>
      </c>
      <c r="N679">
        <v>3596.4</v>
      </c>
      <c r="O679">
        <v>2200</v>
      </c>
      <c r="P679">
        <v>1396.4</v>
      </c>
      <c r="Q679" t="s">
        <v>69</v>
      </c>
      <c r="R679" t="s">
        <v>28</v>
      </c>
      <c r="S679">
        <v>2</v>
      </c>
    </row>
    <row r="680" spans="1:19">
      <c r="A680" t="s">
        <v>1021</v>
      </c>
      <c r="B680" s="2">
        <v>45810</v>
      </c>
      <c r="C680" t="s">
        <v>212</v>
      </c>
      <c r="D680" t="s">
        <v>213</v>
      </c>
      <c r="E680" t="s">
        <v>22</v>
      </c>
      <c r="F680">
        <v>33</v>
      </c>
      <c r="G680" t="s">
        <v>48</v>
      </c>
      <c r="H680" t="s">
        <v>42</v>
      </c>
      <c r="I680" t="s">
        <v>75</v>
      </c>
      <c r="J680" t="s">
        <v>76</v>
      </c>
      <c r="K680">
        <v>1</v>
      </c>
      <c r="L680">
        <v>399</v>
      </c>
      <c r="M680" s="3">
        <v>0.05</v>
      </c>
      <c r="N680">
        <v>379.05</v>
      </c>
      <c r="O680">
        <v>220</v>
      </c>
      <c r="P680">
        <v>159.05000000000001</v>
      </c>
      <c r="Q680" t="s">
        <v>66</v>
      </c>
      <c r="R680" t="s">
        <v>28</v>
      </c>
      <c r="S680">
        <v>4</v>
      </c>
    </row>
    <row r="681" spans="1:19">
      <c r="A681" t="s">
        <v>1022</v>
      </c>
      <c r="B681" s="2">
        <v>45982</v>
      </c>
      <c r="C681" t="s">
        <v>71</v>
      </c>
      <c r="D681" t="s">
        <v>72</v>
      </c>
      <c r="E681" t="s">
        <v>32</v>
      </c>
      <c r="F681">
        <v>53</v>
      </c>
      <c r="G681" t="s">
        <v>73</v>
      </c>
      <c r="H681" t="s">
        <v>74</v>
      </c>
      <c r="I681" t="s">
        <v>35</v>
      </c>
      <c r="J681" t="s">
        <v>136</v>
      </c>
      <c r="K681">
        <v>2</v>
      </c>
      <c r="L681">
        <v>799</v>
      </c>
      <c r="M681" s="3">
        <v>0.05</v>
      </c>
      <c r="N681">
        <v>1518.1</v>
      </c>
      <c r="O681">
        <v>900</v>
      </c>
      <c r="P681">
        <v>618.1</v>
      </c>
      <c r="Q681" t="s">
        <v>37</v>
      </c>
      <c r="R681" t="s">
        <v>28</v>
      </c>
      <c r="S681">
        <v>3</v>
      </c>
    </row>
    <row r="682" spans="1:19">
      <c r="A682" t="s">
        <v>1023</v>
      </c>
      <c r="B682" s="2">
        <v>46254</v>
      </c>
      <c r="C682" t="s">
        <v>1024</v>
      </c>
      <c r="D682" t="s">
        <v>1025</v>
      </c>
      <c r="E682" t="s">
        <v>22</v>
      </c>
      <c r="F682">
        <v>35</v>
      </c>
      <c r="G682" t="s">
        <v>93</v>
      </c>
      <c r="H682" t="s">
        <v>94</v>
      </c>
      <c r="I682" t="s">
        <v>117</v>
      </c>
      <c r="J682" t="s">
        <v>238</v>
      </c>
      <c r="K682">
        <v>3</v>
      </c>
      <c r="L682">
        <v>2499</v>
      </c>
      <c r="M682" s="3">
        <v>0</v>
      </c>
      <c r="N682">
        <v>7497</v>
      </c>
      <c r="O682">
        <v>4500</v>
      </c>
      <c r="P682">
        <v>2997</v>
      </c>
      <c r="Q682" t="s">
        <v>69</v>
      </c>
      <c r="R682" t="s">
        <v>28</v>
      </c>
      <c r="S682">
        <v>5</v>
      </c>
    </row>
    <row r="683" spans="1:19">
      <c r="A683" t="s">
        <v>1026</v>
      </c>
      <c r="B683" s="2">
        <v>46036</v>
      </c>
      <c r="C683" t="s">
        <v>128</v>
      </c>
      <c r="D683" t="s">
        <v>129</v>
      </c>
      <c r="E683" t="s">
        <v>22</v>
      </c>
      <c r="F683">
        <v>42</v>
      </c>
      <c r="G683" t="s">
        <v>105</v>
      </c>
      <c r="H683" t="s">
        <v>105</v>
      </c>
      <c r="I683" t="s">
        <v>25</v>
      </c>
      <c r="J683" t="s">
        <v>62</v>
      </c>
      <c r="K683">
        <v>3</v>
      </c>
      <c r="L683">
        <v>1299</v>
      </c>
      <c r="M683" s="3">
        <v>0</v>
      </c>
      <c r="N683">
        <v>3897</v>
      </c>
      <c r="O683">
        <v>2400</v>
      </c>
      <c r="P683">
        <v>1497</v>
      </c>
      <c r="Q683" t="s">
        <v>50</v>
      </c>
      <c r="R683" t="s">
        <v>51</v>
      </c>
      <c r="S683">
        <v>1</v>
      </c>
    </row>
    <row r="684" spans="1:19">
      <c r="A684" t="s">
        <v>1027</v>
      </c>
      <c r="B684" s="2">
        <v>45689</v>
      </c>
      <c r="C684" t="s">
        <v>277</v>
      </c>
      <c r="D684" t="s">
        <v>278</v>
      </c>
      <c r="E684" t="s">
        <v>32</v>
      </c>
      <c r="F684">
        <v>33</v>
      </c>
      <c r="G684" t="s">
        <v>105</v>
      </c>
      <c r="H684" t="s">
        <v>105</v>
      </c>
      <c r="I684" t="s">
        <v>163</v>
      </c>
      <c r="J684" t="s">
        <v>214</v>
      </c>
      <c r="K684">
        <v>1</v>
      </c>
      <c r="L684">
        <v>1499</v>
      </c>
      <c r="M684" s="3">
        <v>0.1</v>
      </c>
      <c r="N684">
        <v>1349.1</v>
      </c>
      <c r="O684">
        <v>900</v>
      </c>
      <c r="P684">
        <v>449.1</v>
      </c>
      <c r="Q684" t="s">
        <v>27</v>
      </c>
      <c r="R684" t="s">
        <v>28</v>
      </c>
      <c r="S684">
        <v>5</v>
      </c>
    </row>
    <row r="685" spans="1:19">
      <c r="A685" t="s">
        <v>1028</v>
      </c>
      <c r="B685" s="2">
        <v>46073</v>
      </c>
      <c r="C685" t="s">
        <v>632</v>
      </c>
      <c r="D685" t="s">
        <v>633</v>
      </c>
      <c r="E685" t="s">
        <v>22</v>
      </c>
      <c r="F685">
        <v>33</v>
      </c>
      <c r="G685" t="s">
        <v>55</v>
      </c>
      <c r="H685" t="s">
        <v>34</v>
      </c>
      <c r="I685" t="s">
        <v>75</v>
      </c>
      <c r="J685" t="s">
        <v>76</v>
      </c>
      <c r="K685">
        <v>3</v>
      </c>
      <c r="L685">
        <v>399</v>
      </c>
      <c r="M685" s="3">
        <v>0.15</v>
      </c>
      <c r="N685">
        <v>1017.45</v>
      </c>
      <c r="O685">
        <v>660</v>
      </c>
      <c r="P685">
        <v>357.45</v>
      </c>
      <c r="Q685" t="s">
        <v>66</v>
      </c>
      <c r="R685" t="s">
        <v>28</v>
      </c>
      <c r="S685">
        <v>2</v>
      </c>
    </row>
    <row r="686" spans="1:19">
      <c r="A686" t="s">
        <v>1029</v>
      </c>
      <c r="B686" s="2">
        <v>46226</v>
      </c>
      <c r="C686" t="s">
        <v>458</v>
      </c>
      <c r="D686" t="s">
        <v>459</v>
      </c>
      <c r="E686" t="s">
        <v>32</v>
      </c>
      <c r="F686">
        <v>40</v>
      </c>
      <c r="G686" t="s">
        <v>60</v>
      </c>
      <c r="H686" t="s">
        <v>61</v>
      </c>
      <c r="I686" t="s">
        <v>35</v>
      </c>
      <c r="J686" t="s">
        <v>36</v>
      </c>
      <c r="K686">
        <v>2</v>
      </c>
      <c r="L686">
        <v>599</v>
      </c>
      <c r="M686" s="3">
        <v>0.05</v>
      </c>
      <c r="N686">
        <v>1138.0999999999999</v>
      </c>
      <c r="O686">
        <v>640</v>
      </c>
      <c r="P686">
        <v>498.1</v>
      </c>
      <c r="Q686" t="s">
        <v>66</v>
      </c>
      <c r="R686" t="s">
        <v>137</v>
      </c>
      <c r="S686">
        <v>3</v>
      </c>
    </row>
    <row r="687" spans="1:19">
      <c r="A687" t="s">
        <v>1030</v>
      </c>
      <c r="B687" s="2">
        <v>45795</v>
      </c>
      <c r="C687" t="s">
        <v>491</v>
      </c>
      <c r="D687" t="s">
        <v>92</v>
      </c>
      <c r="E687" t="s">
        <v>22</v>
      </c>
      <c r="F687">
        <v>25</v>
      </c>
      <c r="G687" t="s">
        <v>23</v>
      </c>
      <c r="H687" t="s">
        <v>24</v>
      </c>
      <c r="I687" t="s">
        <v>25</v>
      </c>
      <c r="J687" t="s">
        <v>62</v>
      </c>
      <c r="K687">
        <v>3</v>
      </c>
      <c r="L687">
        <v>1299</v>
      </c>
      <c r="M687" s="3">
        <v>0.05</v>
      </c>
      <c r="N687">
        <v>3702.15</v>
      </c>
      <c r="O687">
        <v>2400</v>
      </c>
      <c r="P687">
        <v>1302.1500000000001</v>
      </c>
      <c r="Q687" t="s">
        <v>69</v>
      </c>
      <c r="R687" t="s">
        <v>28</v>
      </c>
      <c r="S687">
        <v>1</v>
      </c>
    </row>
    <row r="688" spans="1:19">
      <c r="A688" t="s">
        <v>1031</v>
      </c>
      <c r="B688" s="2">
        <v>45797</v>
      </c>
      <c r="C688" t="s">
        <v>598</v>
      </c>
      <c r="D688" t="s">
        <v>225</v>
      </c>
      <c r="E688" t="s">
        <v>22</v>
      </c>
      <c r="F688">
        <v>37</v>
      </c>
      <c r="G688" t="s">
        <v>48</v>
      </c>
      <c r="H688" t="s">
        <v>42</v>
      </c>
      <c r="I688" t="s">
        <v>117</v>
      </c>
      <c r="J688" t="s">
        <v>152</v>
      </c>
      <c r="K688">
        <v>4</v>
      </c>
      <c r="L688">
        <v>899</v>
      </c>
      <c r="M688" s="3">
        <v>0.15</v>
      </c>
      <c r="N688">
        <v>3056.6</v>
      </c>
      <c r="O688">
        <v>2000</v>
      </c>
      <c r="P688">
        <v>1056.5999999999999</v>
      </c>
      <c r="Q688" t="s">
        <v>69</v>
      </c>
      <c r="R688" t="s">
        <v>28</v>
      </c>
      <c r="S688">
        <v>4</v>
      </c>
    </row>
    <row r="689" spans="1:19">
      <c r="A689" t="s">
        <v>1032</v>
      </c>
      <c r="B689" s="2">
        <v>45842</v>
      </c>
      <c r="C689" t="s">
        <v>161</v>
      </c>
      <c r="D689" t="s">
        <v>162</v>
      </c>
      <c r="E689" t="s">
        <v>22</v>
      </c>
      <c r="F689">
        <v>44</v>
      </c>
      <c r="G689" t="s">
        <v>146</v>
      </c>
      <c r="H689" t="s">
        <v>61</v>
      </c>
      <c r="I689" t="s">
        <v>117</v>
      </c>
      <c r="J689" t="s">
        <v>238</v>
      </c>
      <c r="K689">
        <v>4</v>
      </c>
      <c r="L689">
        <v>2499</v>
      </c>
      <c r="M689" s="3">
        <v>0.2</v>
      </c>
      <c r="N689">
        <v>7996.8</v>
      </c>
      <c r="O689">
        <v>6000</v>
      </c>
      <c r="P689">
        <v>1996.8</v>
      </c>
      <c r="Q689" t="s">
        <v>66</v>
      </c>
      <c r="R689" t="s">
        <v>28</v>
      </c>
      <c r="S689">
        <v>5</v>
      </c>
    </row>
    <row r="690" spans="1:19">
      <c r="A690" t="s">
        <v>1033</v>
      </c>
      <c r="B690" s="2">
        <v>45848</v>
      </c>
      <c r="C690" t="s">
        <v>257</v>
      </c>
      <c r="D690" t="s">
        <v>125</v>
      </c>
      <c r="E690" t="s">
        <v>32</v>
      </c>
      <c r="F690">
        <v>52</v>
      </c>
      <c r="G690" t="s">
        <v>33</v>
      </c>
      <c r="H690" t="s">
        <v>34</v>
      </c>
      <c r="I690" t="s">
        <v>163</v>
      </c>
      <c r="J690" t="s">
        <v>290</v>
      </c>
      <c r="K690">
        <v>3</v>
      </c>
      <c r="L690">
        <v>1999</v>
      </c>
      <c r="M690" s="3">
        <v>0.05</v>
      </c>
      <c r="N690">
        <v>5697.15</v>
      </c>
      <c r="O690">
        <v>3600</v>
      </c>
      <c r="P690">
        <v>2097.15</v>
      </c>
      <c r="Q690" t="s">
        <v>66</v>
      </c>
      <c r="R690" t="s">
        <v>28</v>
      </c>
      <c r="S690">
        <v>5</v>
      </c>
    </row>
    <row r="691" spans="1:19">
      <c r="A691" t="s">
        <v>1034</v>
      </c>
      <c r="B691" s="2">
        <v>45933</v>
      </c>
      <c r="C691" t="s">
        <v>207</v>
      </c>
      <c r="D691" t="s">
        <v>72</v>
      </c>
      <c r="E691" t="s">
        <v>22</v>
      </c>
      <c r="F691">
        <v>48</v>
      </c>
      <c r="G691" t="s">
        <v>180</v>
      </c>
      <c r="H691" t="s">
        <v>181</v>
      </c>
      <c r="I691" t="s">
        <v>117</v>
      </c>
      <c r="J691" t="s">
        <v>152</v>
      </c>
      <c r="K691">
        <v>2</v>
      </c>
      <c r="L691">
        <v>899</v>
      </c>
      <c r="M691" s="3">
        <v>0.2</v>
      </c>
      <c r="N691">
        <v>1438.4</v>
      </c>
      <c r="O691">
        <v>1000</v>
      </c>
      <c r="P691">
        <v>438.4</v>
      </c>
      <c r="Q691" t="s">
        <v>66</v>
      </c>
      <c r="R691" t="s">
        <v>77</v>
      </c>
      <c r="S691">
        <v>3</v>
      </c>
    </row>
    <row r="692" spans="1:19">
      <c r="A692" t="s">
        <v>1035</v>
      </c>
      <c r="B692" s="2">
        <v>45773</v>
      </c>
      <c r="C692" t="s">
        <v>236</v>
      </c>
      <c r="D692" t="s">
        <v>237</v>
      </c>
      <c r="E692" t="s">
        <v>32</v>
      </c>
      <c r="F692">
        <v>34</v>
      </c>
      <c r="G692" t="s">
        <v>180</v>
      </c>
      <c r="H692" t="s">
        <v>181</v>
      </c>
      <c r="I692" t="s">
        <v>25</v>
      </c>
      <c r="J692" t="s">
        <v>68</v>
      </c>
      <c r="K692">
        <v>4</v>
      </c>
      <c r="L692">
        <v>2999</v>
      </c>
      <c r="M692" s="3">
        <v>0.1</v>
      </c>
      <c r="N692">
        <v>10796.4</v>
      </c>
      <c r="O692">
        <v>7600</v>
      </c>
      <c r="P692">
        <v>3196.4</v>
      </c>
      <c r="Q692" t="s">
        <v>50</v>
      </c>
      <c r="R692" t="s">
        <v>28</v>
      </c>
      <c r="S692">
        <v>1</v>
      </c>
    </row>
    <row r="693" spans="1:19">
      <c r="A693" t="s">
        <v>1036</v>
      </c>
      <c r="B693" s="2">
        <v>46187</v>
      </c>
      <c r="C693" t="s">
        <v>598</v>
      </c>
      <c r="D693" t="s">
        <v>225</v>
      </c>
      <c r="E693" t="s">
        <v>22</v>
      </c>
      <c r="F693">
        <v>37</v>
      </c>
      <c r="G693" t="s">
        <v>48</v>
      </c>
      <c r="H693" t="s">
        <v>42</v>
      </c>
      <c r="I693" t="s">
        <v>117</v>
      </c>
      <c r="J693" t="s">
        <v>152</v>
      </c>
      <c r="K693">
        <v>3</v>
      </c>
      <c r="L693">
        <v>899</v>
      </c>
      <c r="M693" s="3">
        <v>0.15</v>
      </c>
      <c r="N693">
        <v>2292.4499999999998</v>
      </c>
      <c r="O693">
        <v>1500</v>
      </c>
      <c r="P693">
        <v>792.45</v>
      </c>
      <c r="Q693" t="s">
        <v>69</v>
      </c>
      <c r="R693" t="s">
        <v>28</v>
      </c>
      <c r="S693">
        <v>5</v>
      </c>
    </row>
    <row r="694" spans="1:19">
      <c r="A694" t="s">
        <v>1037</v>
      </c>
      <c r="B694" s="2">
        <v>46210</v>
      </c>
      <c r="C694" t="s">
        <v>692</v>
      </c>
      <c r="D694" t="s">
        <v>343</v>
      </c>
      <c r="E694" t="s">
        <v>22</v>
      </c>
      <c r="F694">
        <v>50</v>
      </c>
      <c r="G694" t="s">
        <v>48</v>
      </c>
      <c r="H694" t="s">
        <v>42</v>
      </c>
      <c r="I694" t="s">
        <v>43</v>
      </c>
      <c r="J694" t="s">
        <v>281</v>
      </c>
      <c r="K694">
        <v>4</v>
      </c>
      <c r="L694">
        <v>2999</v>
      </c>
      <c r="M694" s="3">
        <v>0</v>
      </c>
      <c r="N694">
        <v>11996</v>
      </c>
      <c r="O694">
        <v>7200</v>
      </c>
      <c r="P694">
        <v>4796</v>
      </c>
      <c r="Q694" t="s">
        <v>50</v>
      </c>
      <c r="R694" t="s">
        <v>28</v>
      </c>
      <c r="S694">
        <v>1</v>
      </c>
    </row>
    <row r="695" spans="1:19">
      <c r="A695" t="s">
        <v>1038</v>
      </c>
      <c r="B695" s="2">
        <v>46122</v>
      </c>
      <c r="C695" t="s">
        <v>1039</v>
      </c>
      <c r="D695" t="s">
        <v>333</v>
      </c>
      <c r="E695" t="s">
        <v>22</v>
      </c>
      <c r="F695">
        <v>45</v>
      </c>
      <c r="G695" t="s">
        <v>146</v>
      </c>
      <c r="H695" t="s">
        <v>61</v>
      </c>
      <c r="I695" t="s">
        <v>35</v>
      </c>
      <c r="J695" t="s">
        <v>126</v>
      </c>
      <c r="K695">
        <v>1</v>
      </c>
      <c r="L695">
        <v>1499</v>
      </c>
      <c r="M695" s="3">
        <v>0.15</v>
      </c>
      <c r="N695">
        <v>1274.1500000000001</v>
      </c>
      <c r="O695">
        <v>850</v>
      </c>
      <c r="P695">
        <v>424.15</v>
      </c>
      <c r="Q695" t="s">
        <v>50</v>
      </c>
      <c r="R695" t="s">
        <v>77</v>
      </c>
      <c r="S695">
        <v>3</v>
      </c>
    </row>
    <row r="696" spans="1:19">
      <c r="A696" t="s">
        <v>1040</v>
      </c>
      <c r="B696" s="2">
        <v>45829</v>
      </c>
      <c r="C696" t="s">
        <v>475</v>
      </c>
      <c r="D696" t="s">
        <v>476</v>
      </c>
      <c r="E696" t="s">
        <v>32</v>
      </c>
      <c r="F696">
        <v>51</v>
      </c>
      <c r="G696" t="s">
        <v>141</v>
      </c>
      <c r="H696" t="s">
        <v>142</v>
      </c>
      <c r="I696" t="s">
        <v>163</v>
      </c>
      <c r="J696" t="s">
        <v>214</v>
      </c>
      <c r="K696">
        <v>3</v>
      </c>
      <c r="L696">
        <v>1499</v>
      </c>
      <c r="M696" s="3">
        <v>0.1</v>
      </c>
      <c r="N696">
        <v>4047.3</v>
      </c>
      <c r="O696">
        <v>2700</v>
      </c>
      <c r="P696">
        <v>1347.3</v>
      </c>
      <c r="Q696" t="s">
        <v>69</v>
      </c>
      <c r="R696" t="s">
        <v>28</v>
      </c>
      <c r="S696">
        <v>5</v>
      </c>
    </row>
    <row r="697" spans="1:19">
      <c r="A697" t="s">
        <v>1041</v>
      </c>
      <c r="B697" s="2">
        <v>46142</v>
      </c>
      <c r="C697" t="s">
        <v>227</v>
      </c>
      <c r="D697" t="s">
        <v>228</v>
      </c>
      <c r="E697" t="s">
        <v>22</v>
      </c>
      <c r="F697">
        <v>24</v>
      </c>
      <c r="G697" t="s">
        <v>93</v>
      </c>
      <c r="H697" t="s">
        <v>94</v>
      </c>
      <c r="I697" t="s">
        <v>117</v>
      </c>
      <c r="J697" t="s">
        <v>152</v>
      </c>
      <c r="K697">
        <v>3</v>
      </c>
      <c r="L697">
        <v>899</v>
      </c>
      <c r="M697" s="3">
        <v>0</v>
      </c>
      <c r="N697">
        <v>2697</v>
      </c>
      <c r="O697">
        <v>1500</v>
      </c>
      <c r="P697">
        <v>1197</v>
      </c>
      <c r="Q697" t="s">
        <v>50</v>
      </c>
      <c r="R697" t="s">
        <v>28</v>
      </c>
      <c r="S697">
        <v>1</v>
      </c>
    </row>
    <row r="698" spans="1:19">
      <c r="A698" t="s">
        <v>1042</v>
      </c>
      <c r="B698" s="2">
        <v>46154</v>
      </c>
      <c r="C698" t="s">
        <v>623</v>
      </c>
      <c r="D698" t="s">
        <v>624</v>
      </c>
      <c r="E698" t="s">
        <v>22</v>
      </c>
      <c r="F698">
        <v>52</v>
      </c>
      <c r="G698" t="s">
        <v>60</v>
      </c>
      <c r="H698" t="s">
        <v>61</v>
      </c>
      <c r="I698" t="s">
        <v>117</v>
      </c>
      <c r="J698" t="s">
        <v>152</v>
      </c>
      <c r="K698">
        <v>1</v>
      </c>
      <c r="L698">
        <v>899</v>
      </c>
      <c r="M698" s="3">
        <v>0.1</v>
      </c>
      <c r="N698">
        <v>809.1</v>
      </c>
      <c r="O698">
        <v>500</v>
      </c>
      <c r="P698">
        <v>309.10000000000002</v>
      </c>
      <c r="Q698" t="s">
        <v>69</v>
      </c>
      <c r="R698" t="s">
        <v>28</v>
      </c>
      <c r="S698">
        <v>1</v>
      </c>
    </row>
    <row r="699" spans="1:19">
      <c r="A699" t="s">
        <v>1043</v>
      </c>
      <c r="B699" s="2">
        <v>45945</v>
      </c>
      <c r="C699" t="s">
        <v>120</v>
      </c>
      <c r="D699" t="s">
        <v>121</v>
      </c>
      <c r="E699" t="s">
        <v>32</v>
      </c>
      <c r="F699">
        <v>35</v>
      </c>
      <c r="G699" t="s">
        <v>93</v>
      </c>
      <c r="H699" t="s">
        <v>94</v>
      </c>
      <c r="I699" t="s">
        <v>43</v>
      </c>
      <c r="J699" t="s">
        <v>197</v>
      </c>
      <c r="K699">
        <v>2</v>
      </c>
      <c r="L699">
        <v>1799</v>
      </c>
      <c r="M699" s="3">
        <v>0.2</v>
      </c>
      <c r="N699">
        <v>2878.4</v>
      </c>
      <c r="O699">
        <v>2100</v>
      </c>
      <c r="P699">
        <v>778.4</v>
      </c>
      <c r="Q699" t="s">
        <v>37</v>
      </c>
      <c r="R699" t="s">
        <v>137</v>
      </c>
      <c r="S699">
        <v>1</v>
      </c>
    </row>
    <row r="700" spans="1:19">
      <c r="A700" t="s">
        <v>1044</v>
      </c>
      <c r="B700" s="2">
        <v>45812</v>
      </c>
      <c r="C700" t="s">
        <v>250</v>
      </c>
      <c r="D700" t="s">
        <v>241</v>
      </c>
      <c r="E700" t="s">
        <v>32</v>
      </c>
      <c r="F700">
        <v>18</v>
      </c>
      <c r="G700" t="s">
        <v>251</v>
      </c>
      <c r="H700" t="s">
        <v>251</v>
      </c>
      <c r="I700" t="s">
        <v>75</v>
      </c>
      <c r="J700" t="s">
        <v>106</v>
      </c>
      <c r="K700">
        <v>2</v>
      </c>
      <c r="L700">
        <v>899</v>
      </c>
      <c r="M700" s="3">
        <v>0.2</v>
      </c>
      <c r="N700">
        <v>1438.4</v>
      </c>
      <c r="O700">
        <v>1200</v>
      </c>
      <c r="P700">
        <v>238.4</v>
      </c>
      <c r="Q700" t="s">
        <v>66</v>
      </c>
      <c r="R700" t="s">
        <v>28</v>
      </c>
      <c r="S700">
        <v>2</v>
      </c>
    </row>
    <row r="701" spans="1:19">
      <c r="A701" t="s">
        <v>1045</v>
      </c>
      <c r="B701" s="2">
        <v>45843</v>
      </c>
      <c r="C701" t="s">
        <v>641</v>
      </c>
      <c r="D701" t="s">
        <v>72</v>
      </c>
      <c r="E701" t="s">
        <v>32</v>
      </c>
      <c r="F701">
        <v>51</v>
      </c>
      <c r="G701" t="s">
        <v>115</v>
      </c>
      <c r="H701" t="s">
        <v>116</v>
      </c>
      <c r="I701" t="s">
        <v>117</v>
      </c>
      <c r="J701" t="s">
        <v>238</v>
      </c>
      <c r="K701">
        <v>2</v>
      </c>
      <c r="L701">
        <v>2499</v>
      </c>
      <c r="M701" s="3">
        <v>0.15</v>
      </c>
      <c r="N701">
        <v>4248.3</v>
      </c>
      <c r="O701">
        <v>3000</v>
      </c>
      <c r="P701">
        <v>1248.3</v>
      </c>
      <c r="Q701" t="s">
        <v>50</v>
      </c>
      <c r="R701" t="s">
        <v>137</v>
      </c>
      <c r="S701">
        <v>3</v>
      </c>
    </row>
    <row r="702" spans="1:19">
      <c r="A702" t="s">
        <v>1046</v>
      </c>
      <c r="B702" s="2">
        <v>46080</v>
      </c>
      <c r="C702" t="s">
        <v>801</v>
      </c>
      <c r="D702" t="s">
        <v>225</v>
      </c>
      <c r="E702" t="s">
        <v>32</v>
      </c>
      <c r="F702">
        <v>55</v>
      </c>
      <c r="G702" t="s">
        <v>41</v>
      </c>
      <c r="H702" t="s">
        <v>42</v>
      </c>
      <c r="I702" t="s">
        <v>25</v>
      </c>
      <c r="J702" t="s">
        <v>62</v>
      </c>
      <c r="K702">
        <v>2</v>
      </c>
      <c r="L702">
        <v>1299</v>
      </c>
      <c r="M702" s="3">
        <v>0.15</v>
      </c>
      <c r="N702">
        <v>2208.3000000000002</v>
      </c>
      <c r="O702">
        <v>1600</v>
      </c>
      <c r="P702">
        <v>608.29999999999995</v>
      </c>
      <c r="Q702" t="s">
        <v>66</v>
      </c>
      <c r="R702" t="s">
        <v>28</v>
      </c>
      <c r="S702">
        <v>4</v>
      </c>
    </row>
    <row r="703" spans="1:19">
      <c r="A703" t="s">
        <v>1047</v>
      </c>
      <c r="B703" s="2">
        <v>45928</v>
      </c>
      <c r="C703" t="s">
        <v>553</v>
      </c>
      <c r="D703" t="s">
        <v>554</v>
      </c>
      <c r="E703" t="s">
        <v>22</v>
      </c>
      <c r="F703">
        <v>54</v>
      </c>
      <c r="G703" t="s">
        <v>23</v>
      </c>
      <c r="H703" t="s">
        <v>24</v>
      </c>
      <c r="I703" t="s">
        <v>43</v>
      </c>
      <c r="J703" t="s">
        <v>49</v>
      </c>
      <c r="K703">
        <v>3</v>
      </c>
      <c r="L703">
        <v>799</v>
      </c>
      <c r="M703" s="3">
        <v>0</v>
      </c>
      <c r="N703">
        <v>2397</v>
      </c>
      <c r="O703">
        <v>1350</v>
      </c>
      <c r="P703">
        <v>1047</v>
      </c>
      <c r="Q703" t="s">
        <v>69</v>
      </c>
      <c r="R703" t="s">
        <v>28</v>
      </c>
      <c r="S703">
        <v>4</v>
      </c>
    </row>
    <row r="704" spans="1:19">
      <c r="A704" t="s">
        <v>1048</v>
      </c>
      <c r="B704" s="2">
        <v>46203</v>
      </c>
      <c r="C704" t="s">
        <v>124</v>
      </c>
      <c r="D704" t="s">
        <v>125</v>
      </c>
      <c r="E704" t="s">
        <v>32</v>
      </c>
      <c r="F704">
        <v>22</v>
      </c>
      <c r="G704" t="s">
        <v>48</v>
      </c>
      <c r="H704" t="s">
        <v>42</v>
      </c>
      <c r="I704" t="s">
        <v>35</v>
      </c>
      <c r="J704" t="s">
        <v>36</v>
      </c>
      <c r="K704">
        <v>3</v>
      </c>
      <c r="L704">
        <v>599</v>
      </c>
      <c r="M704" s="3">
        <v>0.15</v>
      </c>
      <c r="N704">
        <v>1527.45</v>
      </c>
      <c r="O704">
        <v>960</v>
      </c>
      <c r="P704">
        <v>567.45000000000005</v>
      </c>
      <c r="Q704" t="s">
        <v>27</v>
      </c>
      <c r="R704" t="s">
        <v>28</v>
      </c>
      <c r="S704">
        <v>4</v>
      </c>
    </row>
    <row r="705" spans="1:19">
      <c r="A705" t="s">
        <v>1049</v>
      </c>
      <c r="B705" s="2">
        <v>46103</v>
      </c>
      <c r="C705" t="s">
        <v>433</v>
      </c>
      <c r="D705" t="s">
        <v>92</v>
      </c>
      <c r="E705" t="s">
        <v>32</v>
      </c>
      <c r="F705">
        <v>28</v>
      </c>
      <c r="G705" t="s">
        <v>93</v>
      </c>
      <c r="H705" t="s">
        <v>94</v>
      </c>
      <c r="I705" t="s">
        <v>43</v>
      </c>
      <c r="J705" t="s">
        <v>197</v>
      </c>
      <c r="K705">
        <v>2</v>
      </c>
      <c r="L705">
        <v>1799</v>
      </c>
      <c r="M705" s="3">
        <v>0.2</v>
      </c>
      <c r="N705">
        <v>2878.4</v>
      </c>
      <c r="O705">
        <v>2100</v>
      </c>
      <c r="P705">
        <v>778.4</v>
      </c>
      <c r="Q705" t="s">
        <v>69</v>
      </c>
      <c r="R705" t="s">
        <v>28</v>
      </c>
      <c r="S705">
        <v>4</v>
      </c>
    </row>
    <row r="706" spans="1:19">
      <c r="A706" t="s">
        <v>1050</v>
      </c>
      <c r="B706" s="2">
        <v>45700</v>
      </c>
      <c r="C706" t="s">
        <v>192</v>
      </c>
      <c r="D706" t="s">
        <v>193</v>
      </c>
      <c r="E706" t="s">
        <v>32</v>
      </c>
      <c r="F706">
        <v>47</v>
      </c>
      <c r="G706" t="s">
        <v>93</v>
      </c>
      <c r="H706" t="s">
        <v>94</v>
      </c>
      <c r="I706" t="s">
        <v>117</v>
      </c>
      <c r="J706" t="s">
        <v>118</v>
      </c>
      <c r="K706">
        <v>3</v>
      </c>
      <c r="L706">
        <v>999</v>
      </c>
      <c r="M706" s="3">
        <v>0.2</v>
      </c>
      <c r="N706">
        <v>2397.6</v>
      </c>
      <c r="O706">
        <v>1650</v>
      </c>
      <c r="P706">
        <v>747.6</v>
      </c>
      <c r="Q706" t="s">
        <v>69</v>
      </c>
      <c r="R706" t="s">
        <v>77</v>
      </c>
      <c r="S706">
        <v>3</v>
      </c>
    </row>
    <row r="707" spans="1:19">
      <c r="A707" t="s">
        <v>1051</v>
      </c>
      <c r="B707" s="2">
        <v>45934</v>
      </c>
      <c r="C707" t="s">
        <v>267</v>
      </c>
      <c r="D707" t="s">
        <v>268</v>
      </c>
      <c r="E707" t="s">
        <v>22</v>
      </c>
      <c r="F707">
        <v>35</v>
      </c>
      <c r="G707" t="s">
        <v>141</v>
      </c>
      <c r="H707" t="s">
        <v>142</v>
      </c>
      <c r="I707" t="s">
        <v>75</v>
      </c>
      <c r="J707" t="s">
        <v>106</v>
      </c>
      <c r="K707">
        <v>3</v>
      </c>
      <c r="L707">
        <v>899</v>
      </c>
      <c r="M707" s="3">
        <v>0.1</v>
      </c>
      <c r="N707">
        <v>2427.3000000000002</v>
      </c>
      <c r="O707">
        <v>1800</v>
      </c>
      <c r="P707">
        <v>627.29999999999995</v>
      </c>
      <c r="Q707" t="s">
        <v>37</v>
      </c>
      <c r="R707" t="s">
        <v>137</v>
      </c>
      <c r="S707">
        <v>3</v>
      </c>
    </row>
    <row r="708" spans="1:19">
      <c r="A708" t="s">
        <v>1052</v>
      </c>
      <c r="B708" s="2">
        <v>46260</v>
      </c>
      <c r="C708" t="s">
        <v>264</v>
      </c>
      <c r="D708" t="s">
        <v>265</v>
      </c>
      <c r="E708" t="s">
        <v>22</v>
      </c>
      <c r="F708">
        <v>48</v>
      </c>
      <c r="G708" t="s">
        <v>23</v>
      </c>
      <c r="H708" t="s">
        <v>24</v>
      </c>
      <c r="I708" t="s">
        <v>163</v>
      </c>
      <c r="J708" t="s">
        <v>290</v>
      </c>
      <c r="K708">
        <v>4</v>
      </c>
      <c r="L708">
        <v>1999</v>
      </c>
      <c r="M708" s="3">
        <v>0.05</v>
      </c>
      <c r="N708">
        <v>7596.2</v>
      </c>
      <c r="O708">
        <v>4800</v>
      </c>
      <c r="P708">
        <v>2796.2</v>
      </c>
      <c r="Q708" t="s">
        <v>27</v>
      </c>
      <c r="R708" t="s">
        <v>28</v>
      </c>
      <c r="S708">
        <v>2</v>
      </c>
    </row>
    <row r="709" spans="1:19">
      <c r="A709" t="s">
        <v>1053</v>
      </c>
      <c r="B709" s="2">
        <v>45727</v>
      </c>
      <c r="C709" t="s">
        <v>436</v>
      </c>
      <c r="D709" t="s">
        <v>437</v>
      </c>
      <c r="E709" t="s">
        <v>32</v>
      </c>
      <c r="F709">
        <v>44</v>
      </c>
      <c r="G709" t="s">
        <v>73</v>
      </c>
      <c r="H709" t="s">
        <v>74</v>
      </c>
      <c r="I709" t="s">
        <v>35</v>
      </c>
      <c r="J709" t="s">
        <v>126</v>
      </c>
      <c r="K709">
        <v>1</v>
      </c>
      <c r="L709">
        <v>1499</v>
      </c>
      <c r="M709" s="3">
        <v>0</v>
      </c>
      <c r="N709">
        <v>1499</v>
      </c>
      <c r="O709">
        <v>850</v>
      </c>
      <c r="P709">
        <v>649</v>
      </c>
      <c r="Q709" t="s">
        <v>69</v>
      </c>
      <c r="R709" t="s">
        <v>28</v>
      </c>
      <c r="S709">
        <v>5</v>
      </c>
    </row>
    <row r="710" spans="1:19">
      <c r="A710" t="s">
        <v>1054</v>
      </c>
      <c r="B710" s="2">
        <v>45882</v>
      </c>
      <c r="C710" t="s">
        <v>595</v>
      </c>
      <c r="D710" t="s">
        <v>596</v>
      </c>
      <c r="E710" t="s">
        <v>22</v>
      </c>
      <c r="F710">
        <v>25</v>
      </c>
      <c r="G710" t="s">
        <v>180</v>
      </c>
      <c r="H710" t="s">
        <v>181</v>
      </c>
      <c r="I710" t="s">
        <v>117</v>
      </c>
      <c r="J710" t="s">
        <v>118</v>
      </c>
      <c r="K710">
        <v>4</v>
      </c>
      <c r="L710">
        <v>999</v>
      </c>
      <c r="M710" s="3">
        <v>0.1</v>
      </c>
      <c r="N710">
        <v>3596.4</v>
      </c>
      <c r="O710">
        <v>2200</v>
      </c>
      <c r="P710">
        <v>1396.4</v>
      </c>
      <c r="Q710" t="s">
        <v>37</v>
      </c>
      <c r="R710" t="s">
        <v>28</v>
      </c>
      <c r="S710">
        <v>1</v>
      </c>
    </row>
    <row r="711" spans="1:19">
      <c r="A711" t="s">
        <v>1055</v>
      </c>
      <c r="B711" s="2">
        <v>46266</v>
      </c>
      <c r="C711" t="s">
        <v>390</v>
      </c>
      <c r="D711" t="s">
        <v>391</v>
      </c>
      <c r="E711" t="s">
        <v>32</v>
      </c>
      <c r="F711">
        <v>27</v>
      </c>
      <c r="G711" t="s">
        <v>55</v>
      </c>
      <c r="H711" t="s">
        <v>34</v>
      </c>
      <c r="I711" t="s">
        <v>75</v>
      </c>
      <c r="J711" t="s">
        <v>106</v>
      </c>
      <c r="K711">
        <v>1</v>
      </c>
      <c r="L711">
        <v>899</v>
      </c>
      <c r="M711" s="3">
        <v>0</v>
      </c>
      <c r="N711">
        <v>899</v>
      </c>
      <c r="O711">
        <v>600</v>
      </c>
      <c r="P711">
        <v>299</v>
      </c>
      <c r="Q711" t="s">
        <v>27</v>
      </c>
      <c r="R711" t="s">
        <v>51</v>
      </c>
      <c r="S711">
        <v>1</v>
      </c>
    </row>
    <row r="712" spans="1:19">
      <c r="A712" t="s">
        <v>1056</v>
      </c>
      <c r="B712" s="2">
        <v>46237</v>
      </c>
      <c r="C712" t="s">
        <v>562</v>
      </c>
      <c r="D712" t="s">
        <v>563</v>
      </c>
      <c r="E712" t="s">
        <v>22</v>
      </c>
      <c r="F712">
        <v>27</v>
      </c>
      <c r="G712" t="s">
        <v>180</v>
      </c>
      <c r="H712" t="s">
        <v>181</v>
      </c>
      <c r="I712" t="s">
        <v>25</v>
      </c>
      <c r="J712" t="s">
        <v>26</v>
      </c>
      <c r="K712">
        <v>2</v>
      </c>
      <c r="L712">
        <v>2499</v>
      </c>
      <c r="M712" s="3">
        <v>0.15</v>
      </c>
      <c r="N712">
        <v>4248.3</v>
      </c>
      <c r="O712">
        <v>3200</v>
      </c>
      <c r="P712">
        <v>1048.3</v>
      </c>
      <c r="Q712" t="s">
        <v>27</v>
      </c>
      <c r="R712" t="s">
        <v>77</v>
      </c>
      <c r="S712">
        <v>2</v>
      </c>
    </row>
    <row r="713" spans="1:19">
      <c r="A713" t="s">
        <v>1057</v>
      </c>
      <c r="B713" s="2">
        <v>46122</v>
      </c>
      <c r="C713" t="s">
        <v>209</v>
      </c>
      <c r="D713" t="s">
        <v>210</v>
      </c>
      <c r="E713" t="s">
        <v>32</v>
      </c>
      <c r="F713">
        <v>26</v>
      </c>
      <c r="G713" t="s">
        <v>23</v>
      </c>
      <c r="H713" t="s">
        <v>24</v>
      </c>
      <c r="I713" t="s">
        <v>43</v>
      </c>
      <c r="J713" t="s">
        <v>44</v>
      </c>
      <c r="K713">
        <v>4</v>
      </c>
      <c r="L713">
        <v>1599</v>
      </c>
      <c r="M713" s="3">
        <v>0</v>
      </c>
      <c r="N713">
        <v>6396</v>
      </c>
      <c r="O713">
        <v>3800</v>
      </c>
      <c r="P713">
        <v>2596</v>
      </c>
      <c r="Q713" t="s">
        <v>37</v>
      </c>
      <c r="R713" t="s">
        <v>28</v>
      </c>
      <c r="S713">
        <v>3</v>
      </c>
    </row>
    <row r="714" spans="1:19">
      <c r="A714" t="s">
        <v>1058</v>
      </c>
      <c r="B714" s="2">
        <v>45721</v>
      </c>
      <c r="C714" t="s">
        <v>273</v>
      </c>
      <c r="D714" t="s">
        <v>274</v>
      </c>
      <c r="E714" t="s">
        <v>22</v>
      </c>
      <c r="F714">
        <v>41</v>
      </c>
      <c r="G714" t="s">
        <v>105</v>
      </c>
      <c r="H714" t="s">
        <v>105</v>
      </c>
      <c r="I714" t="s">
        <v>43</v>
      </c>
      <c r="J714" t="s">
        <v>95</v>
      </c>
      <c r="K714">
        <v>1</v>
      </c>
      <c r="L714">
        <v>2499</v>
      </c>
      <c r="M714" s="3">
        <v>0.1</v>
      </c>
      <c r="N714">
        <v>2249.1</v>
      </c>
      <c r="O714">
        <v>1500</v>
      </c>
      <c r="P714">
        <v>749.1</v>
      </c>
      <c r="Q714" t="s">
        <v>66</v>
      </c>
      <c r="R714" t="s">
        <v>28</v>
      </c>
      <c r="S714">
        <v>1</v>
      </c>
    </row>
    <row r="715" spans="1:19">
      <c r="A715" t="s">
        <v>1059</v>
      </c>
      <c r="B715" s="2">
        <v>45729</v>
      </c>
      <c r="C715" t="s">
        <v>641</v>
      </c>
      <c r="D715" t="s">
        <v>72</v>
      </c>
      <c r="E715" t="s">
        <v>32</v>
      </c>
      <c r="F715">
        <v>51</v>
      </c>
      <c r="G715" t="s">
        <v>115</v>
      </c>
      <c r="H715" t="s">
        <v>116</v>
      </c>
      <c r="I715" t="s">
        <v>43</v>
      </c>
      <c r="J715" t="s">
        <v>197</v>
      </c>
      <c r="K715">
        <v>2</v>
      </c>
      <c r="L715">
        <v>1799</v>
      </c>
      <c r="M715" s="3">
        <v>0.15</v>
      </c>
      <c r="N715">
        <v>3058.3</v>
      </c>
      <c r="O715">
        <v>2100</v>
      </c>
      <c r="P715">
        <v>958.3</v>
      </c>
      <c r="Q715" t="s">
        <v>66</v>
      </c>
      <c r="R715" t="s">
        <v>51</v>
      </c>
      <c r="S715">
        <v>2</v>
      </c>
    </row>
    <row r="716" spans="1:19">
      <c r="A716" t="s">
        <v>1060</v>
      </c>
      <c r="B716" s="2">
        <v>45805</v>
      </c>
      <c r="C716" t="s">
        <v>632</v>
      </c>
      <c r="D716" t="s">
        <v>633</v>
      </c>
      <c r="E716" t="s">
        <v>22</v>
      </c>
      <c r="F716">
        <v>33</v>
      </c>
      <c r="G716" t="s">
        <v>55</v>
      </c>
      <c r="H716" t="s">
        <v>34</v>
      </c>
      <c r="I716" t="s">
        <v>43</v>
      </c>
      <c r="J716" t="s">
        <v>95</v>
      </c>
      <c r="K716">
        <v>4</v>
      </c>
      <c r="L716">
        <v>2499</v>
      </c>
      <c r="M716" s="3">
        <v>0</v>
      </c>
      <c r="N716">
        <v>9996</v>
      </c>
      <c r="O716">
        <v>6000</v>
      </c>
      <c r="P716">
        <v>3996</v>
      </c>
      <c r="Q716" t="s">
        <v>50</v>
      </c>
      <c r="R716" t="s">
        <v>28</v>
      </c>
      <c r="S716">
        <v>2</v>
      </c>
    </row>
    <row r="717" spans="1:19">
      <c r="A717" t="s">
        <v>1061</v>
      </c>
      <c r="B717" s="2">
        <v>45693</v>
      </c>
      <c r="C717" t="s">
        <v>453</v>
      </c>
      <c r="D717" t="s">
        <v>454</v>
      </c>
      <c r="E717" t="s">
        <v>32</v>
      </c>
      <c r="F717">
        <v>25</v>
      </c>
      <c r="G717" t="s">
        <v>141</v>
      </c>
      <c r="H717" t="s">
        <v>142</v>
      </c>
      <c r="I717" t="s">
        <v>35</v>
      </c>
      <c r="J717" t="s">
        <v>136</v>
      </c>
      <c r="K717">
        <v>3</v>
      </c>
      <c r="L717">
        <v>799</v>
      </c>
      <c r="M717" s="3">
        <v>0</v>
      </c>
      <c r="N717">
        <v>2397</v>
      </c>
      <c r="O717">
        <v>1350</v>
      </c>
      <c r="P717">
        <v>1047</v>
      </c>
      <c r="Q717" t="s">
        <v>69</v>
      </c>
      <c r="R717" t="s">
        <v>28</v>
      </c>
      <c r="S717">
        <v>3</v>
      </c>
    </row>
    <row r="718" spans="1:19">
      <c r="A718" t="s">
        <v>1062</v>
      </c>
      <c r="B718" s="2">
        <v>45658</v>
      </c>
      <c r="C718" t="s">
        <v>317</v>
      </c>
      <c r="D718" t="s">
        <v>318</v>
      </c>
      <c r="E718" t="s">
        <v>22</v>
      </c>
      <c r="F718">
        <v>31</v>
      </c>
      <c r="G718" t="s">
        <v>33</v>
      </c>
      <c r="H718" t="s">
        <v>34</v>
      </c>
      <c r="I718" t="s">
        <v>25</v>
      </c>
      <c r="J718" t="s">
        <v>156</v>
      </c>
      <c r="K718">
        <v>4</v>
      </c>
      <c r="L718">
        <v>1999</v>
      </c>
      <c r="M718" s="3">
        <v>0.05</v>
      </c>
      <c r="N718">
        <v>7596.2</v>
      </c>
      <c r="O718">
        <v>5200</v>
      </c>
      <c r="P718">
        <v>2396.1999999999998</v>
      </c>
      <c r="Q718" t="s">
        <v>69</v>
      </c>
      <c r="R718" t="s">
        <v>28</v>
      </c>
      <c r="S718">
        <v>3</v>
      </c>
    </row>
    <row r="719" spans="1:19">
      <c r="A719" t="s">
        <v>1063</v>
      </c>
      <c r="B719" s="2">
        <v>46246</v>
      </c>
      <c r="C719" t="s">
        <v>158</v>
      </c>
      <c r="D719" t="s">
        <v>159</v>
      </c>
      <c r="E719" t="s">
        <v>32</v>
      </c>
      <c r="F719">
        <v>19</v>
      </c>
      <c r="G719" t="s">
        <v>60</v>
      </c>
      <c r="H719" t="s">
        <v>61</v>
      </c>
      <c r="I719" t="s">
        <v>117</v>
      </c>
      <c r="J719" t="s">
        <v>238</v>
      </c>
      <c r="K719">
        <v>3</v>
      </c>
      <c r="L719">
        <v>2499</v>
      </c>
      <c r="M719" s="3">
        <v>0.15</v>
      </c>
      <c r="N719">
        <v>6372.45</v>
      </c>
      <c r="O719">
        <v>4500</v>
      </c>
      <c r="P719">
        <v>1872.45</v>
      </c>
      <c r="Q719" t="s">
        <v>69</v>
      </c>
      <c r="R719" t="s">
        <v>28</v>
      </c>
      <c r="S719">
        <v>4</v>
      </c>
    </row>
    <row r="720" spans="1:19">
      <c r="A720" t="s">
        <v>1064</v>
      </c>
      <c r="B720" s="2">
        <v>46211</v>
      </c>
      <c r="C720" t="s">
        <v>448</v>
      </c>
      <c r="D720" t="s">
        <v>449</v>
      </c>
      <c r="E720" t="s">
        <v>22</v>
      </c>
      <c r="F720">
        <v>43</v>
      </c>
      <c r="G720" t="s">
        <v>81</v>
      </c>
      <c r="H720" t="s">
        <v>82</v>
      </c>
      <c r="I720" t="s">
        <v>163</v>
      </c>
      <c r="J720" t="s">
        <v>234</v>
      </c>
      <c r="K720">
        <v>4</v>
      </c>
      <c r="L720">
        <v>999</v>
      </c>
      <c r="M720" s="3">
        <v>0</v>
      </c>
      <c r="N720">
        <v>3996</v>
      </c>
      <c r="O720">
        <v>2400</v>
      </c>
      <c r="P720">
        <v>1596</v>
      </c>
      <c r="Q720" t="s">
        <v>27</v>
      </c>
      <c r="R720" t="s">
        <v>28</v>
      </c>
      <c r="S720">
        <v>4</v>
      </c>
    </row>
    <row r="721" spans="1:19">
      <c r="A721" t="s">
        <v>1065</v>
      </c>
      <c r="B721" s="2">
        <v>45968</v>
      </c>
      <c r="C721" t="s">
        <v>243</v>
      </c>
      <c r="D721" t="s">
        <v>244</v>
      </c>
      <c r="E721" t="s">
        <v>22</v>
      </c>
      <c r="F721">
        <v>38</v>
      </c>
      <c r="G721" t="s">
        <v>23</v>
      </c>
      <c r="H721" t="s">
        <v>24</v>
      </c>
      <c r="I721" t="s">
        <v>75</v>
      </c>
      <c r="J721" t="s">
        <v>86</v>
      </c>
      <c r="K721">
        <v>3</v>
      </c>
      <c r="L721">
        <v>499</v>
      </c>
      <c r="M721" s="3">
        <v>0.1</v>
      </c>
      <c r="N721">
        <v>1347.3</v>
      </c>
      <c r="O721">
        <v>900</v>
      </c>
      <c r="P721">
        <v>447.3</v>
      </c>
      <c r="Q721" t="s">
        <v>66</v>
      </c>
      <c r="R721" t="s">
        <v>28</v>
      </c>
      <c r="S721">
        <v>1</v>
      </c>
    </row>
    <row r="722" spans="1:19">
      <c r="A722" t="s">
        <v>1066</v>
      </c>
      <c r="B722" s="2">
        <v>46128</v>
      </c>
      <c r="C722" t="s">
        <v>663</v>
      </c>
      <c r="D722" t="s">
        <v>382</v>
      </c>
      <c r="E722" t="s">
        <v>32</v>
      </c>
      <c r="F722">
        <v>53</v>
      </c>
      <c r="G722" t="s">
        <v>73</v>
      </c>
      <c r="H722" t="s">
        <v>74</v>
      </c>
      <c r="I722" t="s">
        <v>35</v>
      </c>
      <c r="J722" t="s">
        <v>126</v>
      </c>
      <c r="K722">
        <v>3</v>
      </c>
      <c r="L722">
        <v>1499</v>
      </c>
      <c r="M722" s="3">
        <v>0</v>
      </c>
      <c r="N722">
        <v>4497</v>
      </c>
      <c r="O722">
        <v>2550</v>
      </c>
      <c r="P722">
        <v>1947</v>
      </c>
      <c r="Q722" t="s">
        <v>37</v>
      </c>
      <c r="R722" t="s">
        <v>28</v>
      </c>
      <c r="S722">
        <v>2</v>
      </c>
    </row>
    <row r="723" spans="1:19">
      <c r="A723" t="s">
        <v>1067</v>
      </c>
      <c r="B723" s="2">
        <v>45964</v>
      </c>
      <c r="C723" t="s">
        <v>705</v>
      </c>
      <c r="D723" t="s">
        <v>98</v>
      </c>
      <c r="E723" t="s">
        <v>32</v>
      </c>
      <c r="F723">
        <v>47</v>
      </c>
      <c r="G723" t="s">
        <v>141</v>
      </c>
      <c r="H723" t="s">
        <v>142</v>
      </c>
      <c r="I723" t="s">
        <v>25</v>
      </c>
      <c r="J723" t="s">
        <v>68</v>
      </c>
      <c r="K723">
        <v>4</v>
      </c>
      <c r="L723">
        <v>2999</v>
      </c>
      <c r="M723" s="3">
        <v>0.05</v>
      </c>
      <c r="N723">
        <v>11396.2</v>
      </c>
      <c r="O723">
        <v>7600</v>
      </c>
      <c r="P723">
        <v>3796.2</v>
      </c>
      <c r="Q723" t="s">
        <v>66</v>
      </c>
      <c r="R723" t="s">
        <v>77</v>
      </c>
      <c r="S723">
        <v>3</v>
      </c>
    </row>
    <row r="724" spans="1:19">
      <c r="A724" t="s">
        <v>1068</v>
      </c>
      <c r="B724" s="2">
        <v>45801</v>
      </c>
      <c r="C724" t="s">
        <v>178</v>
      </c>
      <c r="D724" t="s">
        <v>179</v>
      </c>
      <c r="E724" t="s">
        <v>32</v>
      </c>
      <c r="F724">
        <v>29</v>
      </c>
      <c r="G724" t="s">
        <v>180</v>
      </c>
      <c r="H724" t="s">
        <v>181</v>
      </c>
      <c r="I724" t="s">
        <v>25</v>
      </c>
      <c r="J724" t="s">
        <v>26</v>
      </c>
      <c r="K724">
        <v>4</v>
      </c>
      <c r="L724">
        <v>2499</v>
      </c>
      <c r="M724" s="3">
        <v>0.05</v>
      </c>
      <c r="N724">
        <v>9496.2000000000007</v>
      </c>
      <c r="O724">
        <v>6400</v>
      </c>
      <c r="P724">
        <v>3096.2</v>
      </c>
      <c r="Q724" t="s">
        <v>69</v>
      </c>
      <c r="R724" t="s">
        <v>28</v>
      </c>
      <c r="S724">
        <v>5</v>
      </c>
    </row>
    <row r="725" spans="1:19">
      <c r="A725" t="s">
        <v>1069</v>
      </c>
      <c r="B725" s="2">
        <v>46211</v>
      </c>
      <c r="C725" t="s">
        <v>363</v>
      </c>
      <c r="D725" t="s">
        <v>155</v>
      </c>
      <c r="E725" t="s">
        <v>32</v>
      </c>
      <c r="F725">
        <v>43</v>
      </c>
      <c r="G725" t="s">
        <v>48</v>
      </c>
      <c r="H725" t="s">
        <v>42</v>
      </c>
      <c r="I725" t="s">
        <v>35</v>
      </c>
      <c r="J725" t="s">
        <v>36</v>
      </c>
      <c r="K725">
        <v>4</v>
      </c>
      <c r="L725">
        <v>599</v>
      </c>
      <c r="M725" s="3">
        <v>0</v>
      </c>
      <c r="N725">
        <v>2396</v>
      </c>
      <c r="O725">
        <v>1280</v>
      </c>
      <c r="P725">
        <v>1116</v>
      </c>
      <c r="Q725" t="s">
        <v>37</v>
      </c>
      <c r="R725" t="s">
        <v>28</v>
      </c>
      <c r="S725">
        <v>4</v>
      </c>
    </row>
    <row r="726" spans="1:19">
      <c r="A726" t="s">
        <v>1070</v>
      </c>
      <c r="B726" s="2">
        <v>46003</v>
      </c>
      <c r="C726" t="s">
        <v>20</v>
      </c>
      <c r="D726" t="s">
        <v>21</v>
      </c>
      <c r="E726" t="s">
        <v>22</v>
      </c>
      <c r="F726">
        <v>52</v>
      </c>
      <c r="G726" t="s">
        <v>23</v>
      </c>
      <c r="H726" t="s">
        <v>24</v>
      </c>
      <c r="I726" t="s">
        <v>25</v>
      </c>
      <c r="J726" t="s">
        <v>68</v>
      </c>
      <c r="K726">
        <v>3</v>
      </c>
      <c r="L726">
        <v>2999</v>
      </c>
      <c r="M726" s="3">
        <v>0</v>
      </c>
      <c r="N726">
        <v>8997</v>
      </c>
      <c r="O726">
        <v>5700</v>
      </c>
      <c r="P726">
        <v>3297</v>
      </c>
      <c r="Q726" t="s">
        <v>69</v>
      </c>
      <c r="R726" t="s">
        <v>28</v>
      </c>
      <c r="S726">
        <v>2</v>
      </c>
    </row>
    <row r="727" spans="1:19">
      <c r="A727" t="s">
        <v>1071</v>
      </c>
      <c r="B727" s="2">
        <v>45896</v>
      </c>
      <c r="C727" t="s">
        <v>329</v>
      </c>
      <c r="D727" t="s">
        <v>330</v>
      </c>
      <c r="E727" t="s">
        <v>22</v>
      </c>
      <c r="F727">
        <v>28</v>
      </c>
      <c r="G727" t="s">
        <v>81</v>
      </c>
      <c r="H727" t="s">
        <v>82</v>
      </c>
      <c r="I727" t="s">
        <v>35</v>
      </c>
      <c r="J727" t="s">
        <v>136</v>
      </c>
      <c r="K727">
        <v>2</v>
      </c>
      <c r="L727">
        <v>799</v>
      </c>
      <c r="M727" s="3">
        <v>0.2</v>
      </c>
      <c r="N727">
        <v>1278.4000000000001</v>
      </c>
      <c r="O727">
        <v>900</v>
      </c>
      <c r="P727">
        <v>378.4</v>
      </c>
      <c r="Q727" t="s">
        <v>69</v>
      </c>
      <c r="R727" t="s">
        <v>28</v>
      </c>
      <c r="S727">
        <v>2</v>
      </c>
    </row>
    <row r="728" spans="1:19">
      <c r="A728" t="s">
        <v>1072</v>
      </c>
      <c r="B728" s="2">
        <v>45704</v>
      </c>
      <c r="C728" t="s">
        <v>64</v>
      </c>
      <c r="D728" t="s">
        <v>65</v>
      </c>
      <c r="E728" t="s">
        <v>32</v>
      </c>
      <c r="F728">
        <v>31</v>
      </c>
      <c r="G728" t="s">
        <v>33</v>
      </c>
      <c r="H728" t="s">
        <v>34</v>
      </c>
      <c r="I728" t="s">
        <v>75</v>
      </c>
      <c r="J728" t="s">
        <v>76</v>
      </c>
      <c r="K728">
        <v>1</v>
      </c>
      <c r="L728">
        <v>399</v>
      </c>
      <c r="M728" s="3">
        <v>0.15</v>
      </c>
      <c r="N728">
        <v>339.15</v>
      </c>
      <c r="O728">
        <v>220</v>
      </c>
      <c r="P728">
        <v>119.15</v>
      </c>
      <c r="Q728" t="s">
        <v>27</v>
      </c>
      <c r="R728" t="s">
        <v>28</v>
      </c>
      <c r="S728">
        <v>2</v>
      </c>
    </row>
    <row r="729" spans="1:19">
      <c r="A729" t="s">
        <v>1073</v>
      </c>
      <c r="B729" s="2">
        <v>45757</v>
      </c>
      <c r="C729" t="s">
        <v>172</v>
      </c>
      <c r="D729" t="s">
        <v>173</v>
      </c>
      <c r="E729" t="s">
        <v>22</v>
      </c>
      <c r="F729">
        <v>50</v>
      </c>
      <c r="G729" t="s">
        <v>48</v>
      </c>
      <c r="H729" t="s">
        <v>42</v>
      </c>
      <c r="I729" t="s">
        <v>43</v>
      </c>
      <c r="J729" t="s">
        <v>95</v>
      </c>
      <c r="K729">
        <v>1</v>
      </c>
      <c r="L729">
        <v>2499</v>
      </c>
      <c r="M729" s="3">
        <v>0.1</v>
      </c>
      <c r="N729">
        <v>2249.1</v>
      </c>
      <c r="O729">
        <v>1500</v>
      </c>
      <c r="P729">
        <v>749.1</v>
      </c>
      <c r="Q729" t="s">
        <v>66</v>
      </c>
      <c r="R729" t="s">
        <v>28</v>
      </c>
      <c r="S729">
        <v>5</v>
      </c>
    </row>
    <row r="730" spans="1:19">
      <c r="A730" t="s">
        <v>1074</v>
      </c>
      <c r="B730" s="2">
        <v>45883</v>
      </c>
      <c r="C730" t="s">
        <v>817</v>
      </c>
      <c r="D730" t="s">
        <v>818</v>
      </c>
      <c r="E730" t="s">
        <v>22</v>
      </c>
      <c r="F730">
        <v>38</v>
      </c>
      <c r="G730" t="s">
        <v>41</v>
      </c>
      <c r="H730" t="s">
        <v>42</v>
      </c>
      <c r="I730" t="s">
        <v>25</v>
      </c>
      <c r="J730" t="s">
        <v>56</v>
      </c>
      <c r="K730">
        <v>1</v>
      </c>
      <c r="L730">
        <v>899</v>
      </c>
      <c r="M730" s="3">
        <v>0.15</v>
      </c>
      <c r="N730">
        <v>764.15</v>
      </c>
      <c r="O730">
        <v>550</v>
      </c>
      <c r="P730">
        <v>214.15</v>
      </c>
      <c r="Q730" t="s">
        <v>69</v>
      </c>
      <c r="R730" t="s">
        <v>137</v>
      </c>
      <c r="S730">
        <v>4</v>
      </c>
    </row>
    <row r="731" spans="1:19">
      <c r="A731" t="s">
        <v>1075</v>
      </c>
      <c r="B731" s="2">
        <v>45781</v>
      </c>
      <c r="C731" t="s">
        <v>175</v>
      </c>
      <c r="D731" t="s">
        <v>176</v>
      </c>
      <c r="E731" t="s">
        <v>32</v>
      </c>
      <c r="F731">
        <v>29</v>
      </c>
      <c r="G731" t="s">
        <v>60</v>
      </c>
      <c r="H731" t="s">
        <v>61</v>
      </c>
      <c r="I731" t="s">
        <v>117</v>
      </c>
      <c r="J731" t="s">
        <v>152</v>
      </c>
      <c r="K731">
        <v>4</v>
      </c>
      <c r="L731">
        <v>899</v>
      </c>
      <c r="M731" s="3">
        <v>0.1</v>
      </c>
      <c r="N731">
        <v>3236.4</v>
      </c>
      <c r="O731">
        <v>2000</v>
      </c>
      <c r="P731">
        <v>1236.4000000000001</v>
      </c>
      <c r="Q731" t="s">
        <v>50</v>
      </c>
      <c r="R731" t="s">
        <v>28</v>
      </c>
      <c r="S731">
        <v>3</v>
      </c>
    </row>
    <row r="732" spans="1:19">
      <c r="A732" t="s">
        <v>1076</v>
      </c>
      <c r="B732" s="2">
        <v>45722</v>
      </c>
      <c r="C732" t="s">
        <v>585</v>
      </c>
      <c r="D732" t="s">
        <v>586</v>
      </c>
      <c r="E732" t="s">
        <v>32</v>
      </c>
      <c r="F732">
        <v>31</v>
      </c>
      <c r="G732" t="s">
        <v>48</v>
      </c>
      <c r="H732" t="s">
        <v>42</v>
      </c>
      <c r="I732" t="s">
        <v>25</v>
      </c>
      <c r="J732" t="s">
        <v>68</v>
      </c>
      <c r="K732">
        <v>2</v>
      </c>
      <c r="L732">
        <v>2999</v>
      </c>
      <c r="M732" s="3">
        <v>0.1</v>
      </c>
      <c r="N732">
        <v>5398.2</v>
      </c>
      <c r="O732">
        <v>3800</v>
      </c>
      <c r="P732">
        <v>1598.2</v>
      </c>
      <c r="Q732" t="s">
        <v>69</v>
      </c>
      <c r="R732" t="s">
        <v>28</v>
      </c>
      <c r="S732">
        <v>4</v>
      </c>
    </row>
    <row r="733" spans="1:19">
      <c r="A733" t="s">
        <v>1077</v>
      </c>
      <c r="B733" s="2">
        <v>45826</v>
      </c>
      <c r="C733" t="s">
        <v>407</v>
      </c>
      <c r="D733" t="s">
        <v>408</v>
      </c>
      <c r="E733" t="s">
        <v>32</v>
      </c>
      <c r="F733">
        <v>44</v>
      </c>
      <c r="G733" t="s">
        <v>48</v>
      </c>
      <c r="H733" t="s">
        <v>42</v>
      </c>
      <c r="I733" t="s">
        <v>117</v>
      </c>
      <c r="J733" t="s">
        <v>238</v>
      </c>
      <c r="K733">
        <v>3</v>
      </c>
      <c r="L733">
        <v>2499</v>
      </c>
      <c r="M733" s="3">
        <v>0.2</v>
      </c>
      <c r="N733">
        <v>5997.6</v>
      </c>
      <c r="O733">
        <v>4500</v>
      </c>
      <c r="P733">
        <v>1497.6</v>
      </c>
      <c r="Q733" t="s">
        <v>66</v>
      </c>
      <c r="R733" t="s">
        <v>28</v>
      </c>
      <c r="S733">
        <v>5</v>
      </c>
    </row>
    <row r="734" spans="1:19">
      <c r="A734" t="s">
        <v>1078</v>
      </c>
      <c r="B734" s="2">
        <v>46043</v>
      </c>
      <c r="C734" t="s">
        <v>496</v>
      </c>
      <c r="D734" t="s">
        <v>408</v>
      </c>
      <c r="E734" t="s">
        <v>32</v>
      </c>
      <c r="F734">
        <v>54</v>
      </c>
      <c r="G734" t="s">
        <v>41</v>
      </c>
      <c r="H734" t="s">
        <v>42</v>
      </c>
      <c r="I734" t="s">
        <v>25</v>
      </c>
      <c r="J734" t="s">
        <v>62</v>
      </c>
      <c r="K734">
        <v>1</v>
      </c>
      <c r="L734">
        <v>1299</v>
      </c>
      <c r="M734" s="3">
        <v>0.2</v>
      </c>
      <c r="N734">
        <v>1039.2</v>
      </c>
      <c r="O734">
        <v>800</v>
      </c>
      <c r="P734">
        <v>239.2</v>
      </c>
      <c r="Q734" t="s">
        <v>27</v>
      </c>
      <c r="R734" t="s">
        <v>28</v>
      </c>
      <c r="S734">
        <v>4</v>
      </c>
    </row>
    <row r="735" spans="1:19">
      <c r="A735" t="s">
        <v>1079</v>
      </c>
      <c r="B735" s="2">
        <v>45749</v>
      </c>
      <c r="C735" t="s">
        <v>295</v>
      </c>
      <c r="D735" t="s">
        <v>296</v>
      </c>
      <c r="E735" t="s">
        <v>22</v>
      </c>
      <c r="F735">
        <v>33</v>
      </c>
      <c r="G735" t="s">
        <v>41</v>
      </c>
      <c r="H735" t="s">
        <v>42</v>
      </c>
      <c r="I735" t="s">
        <v>25</v>
      </c>
      <c r="J735" t="s">
        <v>156</v>
      </c>
      <c r="K735">
        <v>1</v>
      </c>
      <c r="L735">
        <v>1999</v>
      </c>
      <c r="M735" s="3">
        <v>0.05</v>
      </c>
      <c r="N735">
        <v>1899.05</v>
      </c>
      <c r="O735">
        <v>1300</v>
      </c>
      <c r="P735">
        <v>599.04999999999995</v>
      </c>
      <c r="Q735" t="s">
        <v>50</v>
      </c>
      <c r="R735" t="s">
        <v>77</v>
      </c>
      <c r="S735">
        <v>4</v>
      </c>
    </row>
    <row r="736" spans="1:19">
      <c r="A736" t="s">
        <v>1080</v>
      </c>
      <c r="B736" s="2">
        <v>45804</v>
      </c>
      <c r="C736" t="s">
        <v>433</v>
      </c>
      <c r="D736" t="s">
        <v>92</v>
      </c>
      <c r="E736" t="s">
        <v>32</v>
      </c>
      <c r="F736">
        <v>28</v>
      </c>
      <c r="G736" t="s">
        <v>93</v>
      </c>
      <c r="H736" t="s">
        <v>94</v>
      </c>
      <c r="I736" t="s">
        <v>117</v>
      </c>
      <c r="J736" t="s">
        <v>238</v>
      </c>
      <c r="K736">
        <v>2</v>
      </c>
      <c r="L736">
        <v>2499</v>
      </c>
      <c r="M736" s="3">
        <v>0.05</v>
      </c>
      <c r="N736">
        <v>4748.1000000000004</v>
      </c>
      <c r="O736">
        <v>3000</v>
      </c>
      <c r="P736">
        <v>1748.1</v>
      </c>
      <c r="Q736" t="s">
        <v>37</v>
      </c>
      <c r="R736" t="s">
        <v>28</v>
      </c>
      <c r="S736">
        <v>4</v>
      </c>
    </row>
    <row r="737" spans="1:19">
      <c r="A737" t="s">
        <v>1081</v>
      </c>
      <c r="B737" s="2">
        <v>45842</v>
      </c>
      <c r="C737" t="s">
        <v>363</v>
      </c>
      <c r="D737" t="s">
        <v>155</v>
      </c>
      <c r="E737" t="s">
        <v>32</v>
      </c>
      <c r="F737">
        <v>43</v>
      </c>
      <c r="G737" t="s">
        <v>48</v>
      </c>
      <c r="H737" t="s">
        <v>42</v>
      </c>
      <c r="I737" t="s">
        <v>43</v>
      </c>
      <c r="J737" t="s">
        <v>95</v>
      </c>
      <c r="K737">
        <v>1</v>
      </c>
      <c r="L737">
        <v>2499</v>
      </c>
      <c r="M737" s="3">
        <v>0.2</v>
      </c>
      <c r="N737">
        <v>1999.2</v>
      </c>
      <c r="O737">
        <v>1500</v>
      </c>
      <c r="P737">
        <v>499.2</v>
      </c>
      <c r="Q737" t="s">
        <v>66</v>
      </c>
      <c r="R737" t="s">
        <v>28</v>
      </c>
      <c r="S737">
        <v>1</v>
      </c>
    </row>
    <row r="738" spans="1:19">
      <c r="A738" t="s">
        <v>1082</v>
      </c>
      <c r="B738" s="2">
        <v>46229</v>
      </c>
      <c r="C738" t="s">
        <v>227</v>
      </c>
      <c r="D738" t="s">
        <v>228</v>
      </c>
      <c r="E738" t="s">
        <v>22</v>
      </c>
      <c r="F738">
        <v>24</v>
      </c>
      <c r="G738" t="s">
        <v>93</v>
      </c>
      <c r="H738" t="s">
        <v>94</v>
      </c>
      <c r="I738" t="s">
        <v>163</v>
      </c>
      <c r="J738" t="s">
        <v>214</v>
      </c>
      <c r="K738">
        <v>4</v>
      </c>
      <c r="L738">
        <v>1499</v>
      </c>
      <c r="M738" s="3">
        <v>0</v>
      </c>
      <c r="N738">
        <v>5996</v>
      </c>
      <c r="O738">
        <v>3600</v>
      </c>
      <c r="P738">
        <v>2396</v>
      </c>
      <c r="Q738" t="s">
        <v>27</v>
      </c>
      <c r="R738" t="s">
        <v>28</v>
      </c>
      <c r="S738">
        <v>5</v>
      </c>
    </row>
    <row r="739" spans="1:19">
      <c r="A739" t="s">
        <v>1083</v>
      </c>
      <c r="B739" s="2">
        <v>46177</v>
      </c>
      <c r="C739" t="s">
        <v>579</v>
      </c>
      <c r="D739" t="s">
        <v>145</v>
      </c>
      <c r="E739" t="s">
        <v>32</v>
      </c>
      <c r="F739">
        <v>22</v>
      </c>
      <c r="G739" t="s">
        <v>141</v>
      </c>
      <c r="H739" t="s">
        <v>142</v>
      </c>
      <c r="I739" t="s">
        <v>75</v>
      </c>
      <c r="J739" t="s">
        <v>106</v>
      </c>
      <c r="K739">
        <v>3</v>
      </c>
      <c r="L739">
        <v>899</v>
      </c>
      <c r="M739" s="3">
        <v>0.2</v>
      </c>
      <c r="N739">
        <v>2157.6</v>
      </c>
      <c r="O739">
        <v>1800</v>
      </c>
      <c r="P739">
        <v>357.6</v>
      </c>
      <c r="Q739" t="s">
        <v>27</v>
      </c>
      <c r="R739" t="s">
        <v>28</v>
      </c>
      <c r="S739">
        <v>2</v>
      </c>
    </row>
    <row r="740" spans="1:19">
      <c r="A740" t="s">
        <v>1084</v>
      </c>
      <c r="B740" s="2">
        <v>45810</v>
      </c>
      <c r="C740" t="s">
        <v>648</v>
      </c>
      <c r="D740" t="s">
        <v>649</v>
      </c>
      <c r="E740" t="s">
        <v>32</v>
      </c>
      <c r="F740">
        <v>34</v>
      </c>
      <c r="G740" t="s">
        <v>23</v>
      </c>
      <c r="H740" t="s">
        <v>24</v>
      </c>
      <c r="I740" t="s">
        <v>25</v>
      </c>
      <c r="J740" t="s">
        <v>68</v>
      </c>
      <c r="K740">
        <v>2</v>
      </c>
      <c r="L740">
        <v>2999</v>
      </c>
      <c r="M740" s="3">
        <v>0</v>
      </c>
      <c r="N740">
        <v>5998</v>
      </c>
      <c r="O740">
        <v>3800</v>
      </c>
      <c r="P740">
        <v>2198</v>
      </c>
      <c r="Q740" t="s">
        <v>66</v>
      </c>
      <c r="R740" t="s">
        <v>28</v>
      </c>
      <c r="S740">
        <v>2</v>
      </c>
    </row>
    <row r="741" spans="1:19">
      <c r="A741" t="s">
        <v>1085</v>
      </c>
      <c r="B741" s="2">
        <v>45872</v>
      </c>
      <c r="C741" t="s">
        <v>166</v>
      </c>
      <c r="D741" t="s">
        <v>167</v>
      </c>
      <c r="E741" t="s">
        <v>22</v>
      </c>
      <c r="F741">
        <v>36</v>
      </c>
      <c r="G741" t="s">
        <v>146</v>
      </c>
      <c r="H741" t="s">
        <v>61</v>
      </c>
      <c r="I741" t="s">
        <v>25</v>
      </c>
      <c r="J741" t="s">
        <v>68</v>
      </c>
      <c r="K741">
        <v>3</v>
      </c>
      <c r="L741">
        <v>2999</v>
      </c>
      <c r="M741" s="3">
        <v>0.1</v>
      </c>
      <c r="N741">
        <v>8097.3</v>
      </c>
      <c r="O741">
        <v>5700</v>
      </c>
      <c r="P741">
        <v>2397.3000000000002</v>
      </c>
      <c r="Q741" t="s">
        <v>66</v>
      </c>
      <c r="R741" t="s">
        <v>28</v>
      </c>
      <c r="S741">
        <v>5</v>
      </c>
    </row>
    <row r="742" spans="1:19">
      <c r="A742" t="s">
        <v>1086</v>
      </c>
      <c r="B742" s="2">
        <v>46208</v>
      </c>
      <c r="C742" t="s">
        <v>161</v>
      </c>
      <c r="D742" t="s">
        <v>162</v>
      </c>
      <c r="E742" t="s">
        <v>22</v>
      </c>
      <c r="F742">
        <v>44</v>
      </c>
      <c r="G742" t="s">
        <v>146</v>
      </c>
      <c r="H742" t="s">
        <v>61</v>
      </c>
      <c r="I742" t="s">
        <v>25</v>
      </c>
      <c r="J742" t="s">
        <v>68</v>
      </c>
      <c r="K742">
        <v>1</v>
      </c>
      <c r="L742">
        <v>2999</v>
      </c>
      <c r="M742" s="3">
        <v>0</v>
      </c>
      <c r="N742">
        <v>2999</v>
      </c>
      <c r="O742">
        <v>1900</v>
      </c>
      <c r="P742">
        <v>1099</v>
      </c>
      <c r="Q742" t="s">
        <v>27</v>
      </c>
      <c r="R742" t="s">
        <v>28</v>
      </c>
      <c r="S742">
        <v>1</v>
      </c>
    </row>
    <row r="743" spans="1:19">
      <c r="A743" t="s">
        <v>1087</v>
      </c>
      <c r="B743" s="2">
        <v>45898</v>
      </c>
      <c r="C743" t="s">
        <v>178</v>
      </c>
      <c r="D743" t="s">
        <v>179</v>
      </c>
      <c r="E743" t="s">
        <v>32</v>
      </c>
      <c r="F743">
        <v>29</v>
      </c>
      <c r="G743" t="s">
        <v>180</v>
      </c>
      <c r="H743" t="s">
        <v>181</v>
      </c>
      <c r="I743" t="s">
        <v>35</v>
      </c>
      <c r="J743" t="s">
        <v>108</v>
      </c>
      <c r="K743">
        <v>1</v>
      </c>
      <c r="L743">
        <v>699</v>
      </c>
      <c r="M743" s="3">
        <v>0</v>
      </c>
      <c r="N743">
        <v>699</v>
      </c>
      <c r="O743">
        <v>380</v>
      </c>
      <c r="P743">
        <v>319</v>
      </c>
      <c r="Q743" t="s">
        <v>66</v>
      </c>
      <c r="R743" t="s">
        <v>28</v>
      </c>
      <c r="S743">
        <v>3</v>
      </c>
    </row>
    <row r="744" spans="1:19">
      <c r="A744" t="s">
        <v>1088</v>
      </c>
      <c r="B744" s="2">
        <v>45770</v>
      </c>
      <c r="C744" t="s">
        <v>475</v>
      </c>
      <c r="D744" t="s">
        <v>476</v>
      </c>
      <c r="E744" t="s">
        <v>32</v>
      </c>
      <c r="F744">
        <v>51</v>
      </c>
      <c r="G744" t="s">
        <v>141</v>
      </c>
      <c r="H744" t="s">
        <v>142</v>
      </c>
      <c r="I744" t="s">
        <v>43</v>
      </c>
      <c r="J744" t="s">
        <v>49</v>
      </c>
      <c r="K744">
        <v>3</v>
      </c>
      <c r="L744">
        <v>799</v>
      </c>
      <c r="M744" s="3">
        <v>0.05</v>
      </c>
      <c r="N744">
        <v>2277.15</v>
      </c>
      <c r="O744">
        <v>1350</v>
      </c>
      <c r="P744">
        <v>927.15</v>
      </c>
      <c r="Q744" t="s">
        <v>37</v>
      </c>
      <c r="R744" t="s">
        <v>28</v>
      </c>
      <c r="S744">
        <v>2</v>
      </c>
    </row>
    <row r="745" spans="1:19">
      <c r="A745" t="s">
        <v>1089</v>
      </c>
      <c r="B745" s="2">
        <v>45733</v>
      </c>
      <c r="C745" t="s">
        <v>270</v>
      </c>
      <c r="D745" t="s">
        <v>271</v>
      </c>
      <c r="E745" t="s">
        <v>22</v>
      </c>
      <c r="F745">
        <v>51</v>
      </c>
      <c r="G745" t="s">
        <v>48</v>
      </c>
      <c r="H745" t="s">
        <v>42</v>
      </c>
      <c r="I745" t="s">
        <v>43</v>
      </c>
      <c r="J745" t="s">
        <v>49</v>
      </c>
      <c r="K745">
        <v>4</v>
      </c>
      <c r="L745">
        <v>799</v>
      </c>
      <c r="M745" s="3">
        <v>0.05</v>
      </c>
      <c r="N745">
        <v>3036.2</v>
      </c>
      <c r="O745">
        <v>1800</v>
      </c>
      <c r="P745">
        <v>1236.2</v>
      </c>
      <c r="Q745" t="s">
        <v>66</v>
      </c>
      <c r="R745" t="s">
        <v>28</v>
      </c>
      <c r="S745">
        <v>1</v>
      </c>
    </row>
    <row r="746" spans="1:19">
      <c r="A746" t="s">
        <v>1090</v>
      </c>
      <c r="B746" s="2">
        <v>46123</v>
      </c>
      <c r="C746" t="s">
        <v>1024</v>
      </c>
      <c r="D746" t="s">
        <v>1025</v>
      </c>
      <c r="E746" t="s">
        <v>22</v>
      </c>
      <c r="F746">
        <v>35</v>
      </c>
      <c r="G746" t="s">
        <v>93</v>
      </c>
      <c r="H746" t="s">
        <v>94</v>
      </c>
      <c r="I746" t="s">
        <v>25</v>
      </c>
      <c r="J746" t="s">
        <v>62</v>
      </c>
      <c r="K746">
        <v>2</v>
      </c>
      <c r="L746">
        <v>1299</v>
      </c>
      <c r="M746" s="3">
        <v>0.2</v>
      </c>
      <c r="N746">
        <v>2078.4</v>
      </c>
      <c r="O746">
        <v>1600</v>
      </c>
      <c r="P746">
        <v>478.4</v>
      </c>
      <c r="Q746" t="s">
        <v>27</v>
      </c>
      <c r="R746" t="s">
        <v>28</v>
      </c>
      <c r="S746">
        <v>2</v>
      </c>
    </row>
    <row r="747" spans="1:19">
      <c r="A747" t="s">
        <v>1091</v>
      </c>
      <c r="B747" s="2">
        <v>45934</v>
      </c>
      <c r="C747" t="s">
        <v>195</v>
      </c>
      <c r="D747" t="s">
        <v>196</v>
      </c>
      <c r="E747" t="s">
        <v>22</v>
      </c>
      <c r="F747">
        <v>54</v>
      </c>
      <c r="G747" t="s">
        <v>73</v>
      </c>
      <c r="H747" t="s">
        <v>74</v>
      </c>
      <c r="I747" t="s">
        <v>117</v>
      </c>
      <c r="J747" t="s">
        <v>152</v>
      </c>
      <c r="K747">
        <v>2</v>
      </c>
      <c r="L747">
        <v>899</v>
      </c>
      <c r="M747" s="3">
        <v>0.1</v>
      </c>
      <c r="N747">
        <v>1618.2</v>
      </c>
      <c r="O747">
        <v>1000</v>
      </c>
      <c r="P747">
        <v>618.20000000000005</v>
      </c>
      <c r="Q747" t="s">
        <v>27</v>
      </c>
      <c r="R747" t="s">
        <v>28</v>
      </c>
      <c r="S747">
        <v>1</v>
      </c>
    </row>
    <row r="748" spans="1:19">
      <c r="A748" t="s">
        <v>1092</v>
      </c>
      <c r="B748" s="2">
        <v>45771</v>
      </c>
      <c r="C748" t="s">
        <v>292</v>
      </c>
      <c r="D748" t="s">
        <v>293</v>
      </c>
      <c r="E748" t="s">
        <v>32</v>
      </c>
      <c r="F748">
        <v>29</v>
      </c>
      <c r="G748" t="s">
        <v>180</v>
      </c>
      <c r="H748" t="s">
        <v>181</v>
      </c>
      <c r="I748" t="s">
        <v>25</v>
      </c>
      <c r="J748" t="s">
        <v>68</v>
      </c>
      <c r="K748">
        <v>3</v>
      </c>
      <c r="L748">
        <v>2999</v>
      </c>
      <c r="M748" s="3">
        <v>0.05</v>
      </c>
      <c r="N748">
        <v>8547.15</v>
      </c>
      <c r="O748">
        <v>5700</v>
      </c>
      <c r="P748">
        <v>2847.15</v>
      </c>
      <c r="Q748" t="s">
        <v>66</v>
      </c>
      <c r="R748" t="s">
        <v>28</v>
      </c>
      <c r="S748">
        <v>2</v>
      </c>
    </row>
    <row r="749" spans="1:19">
      <c r="A749" t="s">
        <v>1093</v>
      </c>
      <c r="B749" s="2">
        <v>45818</v>
      </c>
      <c r="C749" t="s">
        <v>1039</v>
      </c>
      <c r="D749" t="s">
        <v>333</v>
      </c>
      <c r="E749" t="s">
        <v>22</v>
      </c>
      <c r="F749">
        <v>45</v>
      </c>
      <c r="G749" t="s">
        <v>146</v>
      </c>
      <c r="H749" t="s">
        <v>61</v>
      </c>
      <c r="I749" t="s">
        <v>43</v>
      </c>
      <c r="J749" t="s">
        <v>281</v>
      </c>
      <c r="K749">
        <v>3</v>
      </c>
      <c r="L749">
        <v>2999</v>
      </c>
      <c r="M749" s="3">
        <v>0.2</v>
      </c>
      <c r="N749">
        <v>7197.6</v>
      </c>
      <c r="O749">
        <v>5400</v>
      </c>
      <c r="P749">
        <v>1797.6</v>
      </c>
      <c r="Q749" t="s">
        <v>50</v>
      </c>
      <c r="R749" t="s">
        <v>77</v>
      </c>
      <c r="S749">
        <v>2</v>
      </c>
    </row>
    <row r="750" spans="1:19">
      <c r="A750" t="s">
        <v>1094</v>
      </c>
      <c r="B750" s="2">
        <v>46263</v>
      </c>
      <c r="C750" t="s">
        <v>692</v>
      </c>
      <c r="D750" t="s">
        <v>343</v>
      </c>
      <c r="E750" t="s">
        <v>22</v>
      </c>
      <c r="F750">
        <v>50</v>
      </c>
      <c r="G750" t="s">
        <v>48</v>
      </c>
      <c r="H750" t="s">
        <v>42</v>
      </c>
      <c r="I750" t="s">
        <v>163</v>
      </c>
      <c r="J750" t="s">
        <v>234</v>
      </c>
      <c r="K750">
        <v>4</v>
      </c>
      <c r="L750">
        <v>999</v>
      </c>
      <c r="M750" s="3">
        <v>0.05</v>
      </c>
      <c r="N750">
        <v>3796.2</v>
      </c>
      <c r="O750">
        <v>2400</v>
      </c>
      <c r="P750">
        <v>1396.2</v>
      </c>
      <c r="Q750" t="s">
        <v>66</v>
      </c>
      <c r="R750" t="s">
        <v>137</v>
      </c>
      <c r="S750">
        <v>3</v>
      </c>
    </row>
    <row r="751" spans="1:19">
      <c r="A751" t="s">
        <v>1095</v>
      </c>
      <c r="B751" s="2">
        <v>45911</v>
      </c>
      <c r="C751" t="s">
        <v>172</v>
      </c>
      <c r="D751" t="s">
        <v>173</v>
      </c>
      <c r="E751" t="s">
        <v>22</v>
      </c>
      <c r="F751">
        <v>50</v>
      </c>
      <c r="G751" t="s">
        <v>48</v>
      </c>
      <c r="H751" t="s">
        <v>42</v>
      </c>
      <c r="I751" t="s">
        <v>117</v>
      </c>
      <c r="J751" t="s">
        <v>152</v>
      </c>
      <c r="K751">
        <v>4</v>
      </c>
      <c r="L751">
        <v>899</v>
      </c>
      <c r="M751" s="3">
        <v>0.05</v>
      </c>
      <c r="N751">
        <v>3416.2</v>
      </c>
      <c r="O751">
        <v>2000</v>
      </c>
      <c r="P751">
        <v>1416.2</v>
      </c>
      <c r="Q751" t="s">
        <v>37</v>
      </c>
      <c r="R751" t="s">
        <v>28</v>
      </c>
      <c r="S751">
        <v>2</v>
      </c>
    </row>
    <row r="752" spans="1:19">
      <c r="A752" t="s">
        <v>1096</v>
      </c>
      <c r="B752" s="2">
        <v>45703</v>
      </c>
      <c r="C752" t="s">
        <v>158</v>
      </c>
      <c r="D752" t="s">
        <v>159</v>
      </c>
      <c r="E752" t="s">
        <v>32</v>
      </c>
      <c r="F752">
        <v>19</v>
      </c>
      <c r="G752" t="s">
        <v>60</v>
      </c>
      <c r="H752" t="s">
        <v>61</v>
      </c>
      <c r="I752" t="s">
        <v>75</v>
      </c>
      <c r="J752" t="s">
        <v>86</v>
      </c>
      <c r="K752">
        <v>1</v>
      </c>
      <c r="L752">
        <v>499</v>
      </c>
      <c r="M752" s="3">
        <v>0.15</v>
      </c>
      <c r="N752">
        <v>424.15</v>
      </c>
      <c r="O752">
        <v>300</v>
      </c>
      <c r="P752">
        <v>124.15</v>
      </c>
      <c r="Q752" t="s">
        <v>69</v>
      </c>
      <c r="R752" t="s">
        <v>51</v>
      </c>
      <c r="S752">
        <v>5</v>
      </c>
    </row>
    <row r="753" spans="1:19">
      <c r="A753" t="s">
        <v>1097</v>
      </c>
      <c r="B753" s="2">
        <v>45758</v>
      </c>
      <c r="C753" t="s">
        <v>236</v>
      </c>
      <c r="D753" t="s">
        <v>237</v>
      </c>
      <c r="E753" t="s">
        <v>32</v>
      </c>
      <c r="F753">
        <v>34</v>
      </c>
      <c r="G753" t="s">
        <v>180</v>
      </c>
      <c r="H753" t="s">
        <v>181</v>
      </c>
      <c r="I753" t="s">
        <v>163</v>
      </c>
      <c r="J753" t="s">
        <v>234</v>
      </c>
      <c r="K753">
        <v>4</v>
      </c>
      <c r="L753">
        <v>999</v>
      </c>
      <c r="M753" s="3">
        <v>0.15</v>
      </c>
      <c r="N753">
        <v>3396.6</v>
      </c>
      <c r="O753">
        <v>2400</v>
      </c>
      <c r="P753">
        <v>996.6</v>
      </c>
      <c r="Q753" t="s">
        <v>66</v>
      </c>
      <c r="R753" t="s">
        <v>28</v>
      </c>
      <c r="S753">
        <v>1</v>
      </c>
    </row>
    <row r="754" spans="1:19">
      <c r="A754" t="s">
        <v>1098</v>
      </c>
      <c r="B754" s="2">
        <v>45793</v>
      </c>
      <c r="C754" t="s">
        <v>427</v>
      </c>
      <c r="D754" t="s">
        <v>248</v>
      </c>
      <c r="E754" t="s">
        <v>32</v>
      </c>
      <c r="F754">
        <v>33</v>
      </c>
      <c r="G754" t="s">
        <v>41</v>
      </c>
      <c r="H754" t="s">
        <v>42</v>
      </c>
      <c r="I754" t="s">
        <v>25</v>
      </c>
      <c r="J754" t="s">
        <v>156</v>
      </c>
      <c r="K754">
        <v>4</v>
      </c>
      <c r="L754">
        <v>1999</v>
      </c>
      <c r="M754" s="3">
        <v>0.05</v>
      </c>
      <c r="N754">
        <v>7596.2</v>
      </c>
      <c r="O754">
        <v>5200</v>
      </c>
      <c r="P754">
        <v>2396.1999999999998</v>
      </c>
      <c r="Q754" t="s">
        <v>37</v>
      </c>
      <c r="R754" t="s">
        <v>28</v>
      </c>
      <c r="S754">
        <v>1</v>
      </c>
    </row>
    <row r="755" spans="1:19">
      <c r="A755" t="s">
        <v>1099</v>
      </c>
      <c r="B755" s="2">
        <v>46128</v>
      </c>
      <c r="C755" t="s">
        <v>20</v>
      </c>
      <c r="D755" t="s">
        <v>21</v>
      </c>
      <c r="E755" t="s">
        <v>22</v>
      </c>
      <c r="F755">
        <v>52</v>
      </c>
      <c r="G755" t="s">
        <v>23</v>
      </c>
      <c r="H755" t="s">
        <v>24</v>
      </c>
      <c r="I755" t="s">
        <v>35</v>
      </c>
      <c r="J755" t="s">
        <v>36</v>
      </c>
      <c r="K755">
        <v>3</v>
      </c>
      <c r="L755">
        <v>599</v>
      </c>
      <c r="M755" s="3">
        <v>0.05</v>
      </c>
      <c r="N755">
        <v>1707.15</v>
      </c>
      <c r="O755">
        <v>960</v>
      </c>
      <c r="P755">
        <v>747.15</v>
      </c>
      <c r="Q755" t="s">
        <v>50</v>
      </c>
      <c r="R755" t="s">
        <v>28</v>
      </c>
      <c r="S755">
        <v>1</v>
      </c>
    </row>
    <row r="756" spans="1:19">
      <c r="A756" t="s">
        <v>1100</v>
      </c>
      <c r="B756" s="2">
        <v>45847</v>
      </c>
      <c r="C756" t="s">
        <v>161</v>
      </c>
      <c r="D756" t="s">
        <v>162</v>
      </c>
      <c r="E756" t="s">
        <v>22</v>
      </c>
      <c r="F756">
        <v>44</v>
      </c>
      <c r="G756" t="s">
        <v>146</v>
      </c>
      <c r="H756" t="s">
        <v>61</v>
      </c>
      <c r="I756" t="s">
        <v>35</v>
      </c>
      <c r="J756" t="s">
        <v>136</v>
      </c>
      <c r="K756">
        <v>2</v>
      </c>
      <c r="L756">
        <v>799</v>
      </c>
      <c r="M756" s="3">
        <v>0.15</v>
      </c>
      <c r="N756">
        <v>1358.3</v>
      </c>
      <c r="O756">
        <v>900</v>
      </c>
      <c r="P756">
        <v>458.3</v>
      </c>
      <c r="Q756" t="s">
        <v>37</v>
      </c>
      <c r="R756" t="s">
        <v>28</v>
      </c>
      <c r="S756">
        <v>1</v>
      </c>
    </row>
    <row r="757" spans="1:19">
      <c r="A757" t="s">
        <v>1101</v>
      </c>
      <c r="B757" s="2">
        <v>45691</v>
      </c>
      <c r="C757" t="s">
        <v>261</v>
      </c>
      <c r="D757" t="s">
        <v>262</v>
      </c>
      <c r="E757" t="s">
        <v>22</v>
      </c>
      <c r="F757">
        <v>54</v>
      </c>
      <c r="G757" t="s">
        <v>60</v>
      </c>
      <c r="H757" t="s">
        <v>61</v>
      </c>
      <c r="I757" t="s">
        <v>163</v>
      </c>
      <c r="J757" t="s">
        <v>290</v>
      </c>
      <c r="K757">
        <v>3</v>
      </c>
      <c r="L757">
        <v>1999</v>
      </c>
      <c r="M757" s="3">
        <v>0.2</v>
      </c>
      <c r="N757">
        <v>4797.6000000000004</v>
      </c>
      <c r="O757">
        <v>3600</v>
      </c>
      <c r="P757">
        <v>1197.5999999999999</v>
      </c>
      <c r="Q757" t="s">
        <v>37</v>
      </c>
      <c r="R757" t="s">
        <v>28</v>
      </c>
      <c r="S757">
        <v>3</v>
      </c>
    </row>
    <row r="758" spans="1:19">
      <c r="A758" t="s">
        <v>1102</v>
      </c>
      <c r="B758" s="2">
        <v>46001</v>
      </c>
      <c r="C758" t="s">
        <v>233</v>
      </c>
      <c r="D758" t="s">
        <v>213</v>
      </c>
      <c r="E758" t="s">
        <v>32</v>
      </c>
      <c r="F758">
        <v>18</v>
      </c>
      <c r="G758" t="s">
        <v>93</v>
      </c>
      <c r="H758" t="s">
        <v>94</v>
      </c>
      <c r="I758" t="s">
        <v>75</v>
      </c>
      <c r="J758" t="s">
        <v>86</v>
      </c>
      <c r="K758">
        <v>2</v>
      </c>
      <c r="L758">
        <v>499</v>
      </c>
      <c r="M758" s="3">
        <v>0</v>
      </c>
      <c r="N758">
        <v>998</v>
      </c>
      <c r="O758">
        <v>600</v>
      </c>
      <c r="P758">
        <v>398</v>
      </c>
      <c r="Q758" t="s">
        <v>69</v>
      </c>
      <c r="R758" t="s">
        <v>28</v>
      </c>
      <c r="S758">
        <v>3</v>
      </c>
    </row>
    <row r="759" spans="1:19">
      <c r="A759" t="s">
        <v>1103</v>
      </c>
      <c r="B759" s="2">
        <v>46134</v>
      </c>
      <c r="C759" t="s">
        <v>332</v>
      </c>
      <c r="D759" t="s">
        <v>333</v>
      </c>
      <c r="E759" t="s">
        <v>32</v>
      </c>
      <c r="F759">
        <v>28</v>
      </c>
      <c r="G759" t="s">
        <v>93</v>
      </c>
      <c r="H759" t="s">
        <v>94</v>
      </c>
      <c r="I759" t="s">
        <v>25</v>
      </c>
      <c r="J759" t="s">
        <v>56</v>
      </c>
      <c r="K759">
        <v>4</v>
      </c>
      <c r="L759">
        <v>899</v>
      </c>
      <c r="M759" s="3">
        <v>0.1</v>
      </c>
      <c r="N759">
        <v>3236.4</v>
      </c>
      <c r="O759">
        <v>2200</v>
      </c>
      <c r="P759">
        <v>1036.4000000000001</v>
      </c>
      <c r="Q759" t="s">
        <v>50</v>
      </c>
      <c r="R759" t="s">
        <v>28</v>
      </c>
      <c r="S759">
        <v>3</v>
      </c>
    </row>
    <row r="760" spans="1:19">
      <c r="A760" t="s">
        <v>1104</v>
      </c>
      <c r="B760" s="2">
        <v>45867</v>
      </c>
      <c r="C760" t="s">
        <v>458</v>
      </c>
      <c r="D760" t="s">
        <v>459</v>
      </c>
      <c r="E760" t="s">
        <v>32</v>
      </c>
      <c r="F760">
        <v>40</v>
      </c>
      <c r="G760" t="s">
        <v>60</v>
      </c>
      <c r="H760" t="s">
        <v>61</v>
      </c>
      <c r="I760" t="s">
        <v>75</v>
      </c>
      <c r="J760" t="s">
        <v>76</v>
      </c>
      <c r="K760">
        <v>1</v>
      </c>
      <c r="L760">
        <v>399</v>
      </c>
      <c r="M760" s="3">
        <v>0.2</v>
      </c>
      <c r="N760">
        <v>319.2</v>
      </c>
      <c r="O760">
        <v>220</v>
      </c>
      <c r="P760">
        <v>99.2</v>
      </c>
      <c r="Q760" t="s">
        <v>27</v>
      </c>
      <c r="R760" t="s">
        <v>51</v>
      </c>
      <c r="S760">
        <v>2</v>
      </c>
    </row>
    <row r="761" spans="1:19">
      <c r="A761" t="s">
        <v>1105</v>
      </c>
      <c r="B761" s="2">
        <v>45872</v>
      </c>
      <c r="C761" t="s">
        <v>233</v>
      </c>
      <c r="D761" t="s">
        <v>213</v>
      </c>
      <c r="E761" t="s">
        <v>32</v>
      </c>
      <c r="F761">
        <v>18</v>
      </c>
      <c r="G761" t="s">
        <v>93</v>
      </c>
      <c r="H761" t="s">
        <v>94</v>
      </c>
      <c r="I761" t="s">
        <v>25</v>
      </c>
      <c r="J761" t="s">
        <v>56</v>
      </c>
      <c r="K761">
        <v>4</v>
      </c>
      <c r="L761">
        <v>899</v>
      </c>
      <c r="M761" s="3">
        <v>0.2</v>
      </c>
      <c r="N761">
        <v>2876.8</v>
      </c>
      <c r="O761">
        <v>2200</v>
      </c>
      <c r="P761">
        <v>676.8</v>
      </c>
      <c r="Q761" t="s">
        <v>27</v>
      </c>
      <c r="R761" t="s">
        <v>28</v>
      </c>
      <c r="S761">
        <v>3</v>
      </c>
    </row>
    <row r="762" spans="1:19">
      <c r="A762" t="s">
        <v>1106</v>
      </c>
      <c r="B762" s="2">
        <v>45713</v>
      </c>
      <c r="C762" t="s">
        <v>304</v>
      </c>
      <c r="D762" t="s">
        <v>305</v>
      </c>
      <c r="E762" t="s">
        <v>32</v>
      </c>
      <c r="F762">
        <v>32</v>
      </c>
      <c r="G762" t="s">
        <v>146</v>
      </c>
      <c r="H762" t="s">
        <v>61</v>
      </c>
      <c r="I762" t="s">
        <v>117</v>
      </c>
      <c r="J762" t="s">
        <v>118</v>
      </c>
      <c r="K762">
        <v>4</v>
      </c>
      <c r="L762">
        <v>999</v>
      </c>
      <c r="M762" s="3">
        <v>0.1</v>
      </c>
      <c r="N762">
        <v>3596.4</v>
      </c>
      <c r="O762">
        <v>2200</v>
      </c>
      <c r="P762">
        <v>1396.4</v>
      </c>
      <c r="Q762" t="s">
        <v>69</v>
      </c>
      <c r="R762" t="s">
        <v>28</v>
      </c>
      <c r="S762">
        <v>4</v>
      </c>
    </row>
    <row r="763" spans="1:19">
      <c r="A763" t="s">
        <v>1107</v>
      </c>
      <c r="B763" s="2">
        <v>46202</v>
      </c>
      <c r="C763" t="s">
        <v>178</v>
      </c>
      <c r="D763" t="s">
        <v>179</v>
      </c>
      <c r="E763" t="s">
        <v>32</v>
      </c>
      <c r="F763">
        <v>29</v>
      </c>
      <c r="G763" t="s">
        <v>180</v>
      </c>
      <c r="H763" t="s">
        <v>181</v>
      </c>
      <c r="I763" t="s">
        <v>35</v>
      </c>
      <c r="J763" t="s">
        <v>108</v>
      </c>
      <c r="K763">
        <v>1</v>
      </c>
      <c r="L763">
        <v>699</v>
      </c>
      <c r="M763" s="3">
        <v>0.15</v>
      </c>
      <c r="N763">
        <v>594.15</v>
      </c>
      <c r="O763">
        <v>380</v>
      </c>
      <c r="P763">
        <v>214.15</v>
      </c>
      <c r="Q763" t="s">
        <v>50</v>
      </c>
      <c r="R763" t="s">
        <v>77</v>
      </c>
      <c r="S763">
        <v>4</v>
      </c>
    </row>
    <row r="764" spans="1:19">
      <c r="A764" t="s">
        <v>1108</v>
      </c>
      <c r="B764" s="2">
        <v>46126</v>
      </c>
      <c r="C764" t="s">
        <v>30</v>
      </c>
      <c r="D764" t="s">
        <v>31</v>
      </c>
      <c r="E764" t="s">
        <v>32</v>
      </c>
      <c r="F764">
        <v>29</v>
      </c>
      <c r="G764" t="s">
        <v>33</v>
      </c>
      <c r="H764" t="s">
        <v>34</v>
      </c>
      <c r="I764" t="s">
        <v>117</v>
      </c>
      <c r="J764" t="s">
        <v>118</v>
      </c>
      <c r="K764">
        <v>1</v>
      </c>
      <c r="L764">
        <v>999</v>
      </c>
      <c r="M764" s="3">
        <v>0.05</v>
      </c>
      <c r="N764">
        <v>949.05</v>
      </c>
      <c r="O764">
        <v>550</v>
      </c>
      <c r="P764">
        <v>399.05</v>
      </c>
      <c r="Q764" t="s">
        <v>69</v>
      </c>
      <c r="R764" t="s">
        <v>28</v>
      </c>
      <c r="S764">
        <v>2</v>
      </c>
    </row>
    <row r="765" spans="1:19">
      <c r="A765" t="s">
        <v>1109</v>
      </c>
      <c r="B765" s="2">
        <v>45940</v>
      </c>
      <c r="C765" t="s">
        <v>134</v>
      </c>
      <c r="D765" t="s">
        <v>135</v>
      </c>
      <c r="E765" t="s">
        <v>32</v>
      </c>
      <c r="F765">
        <v>53</v>
      </c>
      <c r="G765" t="s">
        <v>23</v>
      </c>
      <c r="H765" t="s">
        <v>24</v>
      </c>
      <c r="I765" t="s">
        <v>25</v>
      </c>
      <c r="J765" t="s">
        <v>26</v>
      </c>
      <c r="K765">
        <v>1</v>
      </c>
      <c r="L765">
        <v>2499</v>
      </c>
      <c r="M765" s="3">
        <v>0.05</v>
      </c>
      <c r="N765">
        <v>2374.0500000000002</v>
      </c>
      <c r="O765">
        <v>1600</v>
      </c>
      <c r="P765">
        <v>774.05</v>
      </c>
      <c r="Q765" t="s">
        <v>69</v>
      </c>
      <c r="R765" t="s">
        <v>28</v>
      </c>
      <c r="S765">
        <v>4</v>
      </c>
    </row>
    <row r="766" spans="1:19">
      <c r="A766" t="s">
        <v>1110</v>
      </c>
      <c r="B766" s="2">
        <v>46084</v>
      </c>
      <c r="C766" t="s">
        <v>158</v>
      </c>
      <c r="D766" t="s">
        <v>159</v>
      </c>
      <c r="E766" t="s">
        <v>32</v>
      </c>
      <c r="F766">
        <v>19</v>
      </c>
      <c r="G766" t="s">
        <v>60</v>
      </c>
      <c r="H766" t="s">
        <v>61</v>
      </c>
      <c r="I766" t="s">
        <v>43</v>
      </c>
      <c r="J766" t="s">
        <v>49</v>
      </c>
      <c r="K766">
        <v>1</v>
      </c>
      <c r="L766">
        <v>799</v>
      </c>
      <c r="M766" s="3">
        <v>0.1</v>
      </c>
      <c r="N766">
        <v>719.1</v>
      </c>
      <c r="O766">
        <v>450</v>
      </c>
      <c r="P766">
        <v>269.10000000000002</v>
      </c>
      <c r="Q766" t="s">
        <v>50</v>
      </c>
      <c r="R766" t="s">
        <v>77</v>
      </c>
      <c r="S766">
        <v>4</v>
      </c>
    </row>
    <row r="767" spans="1:19">
      <c r="A767" t="s">
        <v>1111</v>
      </c>
      <c r="B767" s="2">
        <v>45956</v>
      </c>
      <c r="C767" t="s">
        <v>199</v>
      </c>
      <c r="D767" t="s">
        <v>200</v>
      </c>
      <c r="E767" t="s">
        <v>22</v>
      </c>
      <c r="F767">
        <v>42</v>
      </c>
      <c r="G767" t="s">
        <v>33</v>
      </c>
      <c r="H767" t="s">
        <v>34</v>
      </c>
      <c r="I767" t="s">
        <v>163</v>
      </c>
      <c r="J767" t="s">
        <v>234</v>
      </c>
      <c r="K767">
        <v>4</v>
      </c>
      <c r="L767">
        <v>999</v>
      </c>
      <c r="M767" s="3">
        <v>0</v>
      </c>
      <c r="N767">
        <v>3996</v>
      </c>
      <c r="O767">
        <v>2400</v>
      </c>
      <c r="P767">
        <v>1596</v>
      </c>
      <c r="Q767" t="s">
        <v>27</v>
      </c>
      <c r="R767" t="s">
        <v>28</v>
      </c>
      <c r="S767">
        <v>2</v>
      </c>
    </row>
    <row r="768" spans="1:19">
      <c r="A768" t="s">
        <v>1112</v>
      </c>
      <c r="B768" s="2">
        <v>46250</v>
      </c>
      <c r="C768" t="s">
        <v>329</v>
      </c>
      <c r="D768" t="s">
        <v>330</v>
      </c>
      <c r="E768" t="s">
        <v>22</v>
      </c>
      <c r="F768">
        <v>28</v>
      </c>
      <c r="G768" t="s">
        <v>81</v>
      </c>
      <c r="H768" t="s">
        <v>82</v>
      </c>
      <c r="I768" t="s">
        <v>75</v>
      </c>
      <c r="J768" t="s">
        <v>76</v>
      </c>
      <c r="K768">
        <v>3</v>
      </c>
      <c r="L768">
        <v>399</v>
      </c>
      <c r="M768" s="3">
        <v>0.15</v>
      </c>
      <c r="N768">
        <v>1017.45</v>
      </c>
      <c r="O768">
        <v>660</v>
      </c>
      <c r="P768">
        <v>357.45</v>
      </c>
      <c r="Q768" t="s">
        <v>37</v>
      </c>
      <c r="R768" t="s">
        <v>28</v>
      </c>
      <c r="S768">
        <v>3</v>
      </c>
    </row>
    <row r="769" spans="1:19">
      <c r="A769" t="s">
        <v>1113</v>
      </c>
      <c r="B769" s="2">
        <v>45969</v>
      </c>
      <c r="C769" t="s">
        <v>178</v>
      </c>
      <c r="D769" t="s">
        <v>179</v>
      </c>
      <c r="E769" t="s">
        <v>32</v>
      </c>
      <c r="F769">
        <v>29</v>
      </c>
      <c r="G769" t="s">
        <v>180</v>
      </c>
      <c r="H769" t="s">
        <v>181</v>
      </c>
      <c r="I769" t="s">
        <v>75</v>
      </c>
      <c r="J769" t="s">
        <v>86</v>
      </c>
      <c r="K769">
        <v>4</v>
      </c>
      <c r="L769">
        <v>499</v>
      </c>
      <c r="M769" s="3">
        <v>0.15</v>
      </c>
      <c r="N769">
        <v>1696.6</v>
      </c>
      <c r="O769">
        <v>1200</v>
      </c>
      <c r="P769">
        <v>496.6</v>
      </c>
      <c r="Q769" t="s">
        <v>50</v>
      </c>
      <c r="R769" t="s">
        <v>28</v>
      </c>
      <c r="S769">
        <v>3</v>
      </c>
    </row>
    <row r="770" spans="1:19">
      <c r="A770" t="s">
        <v>1114</v>
      </c>
      <c r="B770" s="2">
        <v>46038</v>
      </c>
      <c r="C770" t="s">
        <v>407</v>
      </c>
      <c r="D770" t="s">
        <v>408</v>
      </c>
      <c r="E770" t="s">
        <v>32</v>
      </c>
      <c r="F770">
        <v>44</v>
      </c>
      <c r="G770" t="s">
        <v>48</v>
      </c>
      <c r="H770" t="s">
        <v>42</v>
      </c>
      <c r="I770" t="s">
        <v>43</v>
      </c>
      <c r="J770" t="s">
        <v>197</v>
      </c>
      <c r="K770">
        <v>2</v>
      </c>
      <c r="L770">
        <v>1799</v>
      </c>
      <c r="M770" s="3">
        <v>0.15</v>
      </c>
      <c r="N770">
        <v>3058.3</v>
      </c>
      <c r="O770">
        <v>2100</v>
      </c>
      <c r="P770">
        <v>958.3</v>
      </c>
      <c r="Q770" t="s">
        <v>37</v>
      </c>
      <c r="R770" t="s">
        <v>28</v>
      </c>
      <c r="S770">
        <v>1</v>
      </c>
    </row>
    <row r="771" spans="1:19">
      <c r="A771" t="s">
        <v>1115</v>
      </c>
      <c r="B771" s="2">
        <v>45828</v>
      </c>
      <c r="C771" t="s">
        <v>354</v>
      </c>
      <c r="D771" t="s">
        <v>339</v>
      </c>
      <c r="E771" t="s">
        <v>32</v>
      </c>
      <c r="F771">
        <v>25</v>
      </c>
      <c r="G771" t="s">
        <v>115</v>
      </c>
      <c r="H771" t="s">
        <v>116</v>
      </c>
      <c r="I771" t="s">
        <v>163</v>
      </c>
      <c r="J771" t="s">
        <v>214</v>
      </c>
      <c r="K771">
        <v>3</v>
      </c>
      <c r="L771">
        <v>1499</v>
      </c>
      <c r="M771" s="3">
        <v>0.15</v>
      </c>
      <c r="N771">
        <v>3822.45</v>
      </c>
      <c r="O771">
        <v>2700</v>
      </c>
      <c r="P771">
        <v>1122.45</v>
      </c>
      <c r="Q771" t="s">
        <v>50</v>
      </c>
      <c r="R771" t="s">
        <v>77</v>
      </c>
      <c r="S771">
        <v>3</v>
      </c>
    </row>
    <row r="772" spans="1:19">
      <c r="A772" t="s">
        <v>1116</v>
      </c>
      <c r="B772" s="2">
        <v>45901</v>
      </c>
      <c r="C772" t="s">
        <v>338</v>
      </c>
      <c r="D772" t="s">
        <v>339</v>
      </c>
      <c r="E772" t="s">
        <v>32</v>
      </c>
      <c r="F772">
        <v>24</v>
      </c>
      <c r="G772" t="s">
        <v>73</v>
      </c>
      <c r="H772" t="s">
        <v>74</v>
      </c>
      <c r="I772" t="s">
        <v>43</v>
      </c>
      <c r="J772" t="s">
        <v>95</v>
      </c>
      <c r="K772">
        <v>2</v>
      </c>
      <c r="L772">
        <v>2499</v>
      </c>
      <c r="M772" s="3">
        <v>0.05</v>
      </c>
      <c r="N772">
        <v>4748.1000000000004</v>
      </c>
      <c r="O772">
        <v>3000</v>
      </c>
      <c r="P772">
        <v>1748.1</v>
      </c>
      <c r="Q772" t="s">
        <v>69</v>
      </c>
      <c r="R772" t="s">
        <v>28</v>
      </c>
      <c r="S772">
        <v>3</v>
      </c>
    </row>
    <row r="773" spans="1:19">
      <c r="A773" t="s">
        <v>1117</v>
      </c>
      <c r="B773" s="2">
        <v>46036</v>
      </c>
      <c r="C773" t="s">
        <v>71</v>
      </c>
      <c r="D773" t="s">
        <v>72</v>
      </c>
      <c r="E773" t="s">
        <v>32</v>
      </c>
      <c r="F773">
        <v>53</v>
      </c>
      <c r="G773" t="s">
        <v>73</v>
      </c>
      <c r="H773" t="s">
        <v>74</v>
      </c>
      <c r="I773" t="s">
        <v>25</v>
      </c>
      <c r="J773" t="s">
        <v>62</v>
      </c>
      <c r="K773">
        <v>4</v>
      </c>
      <c r="L773">
        <v>1299</v>
      </c>
      <c r="M773" s="3">
        <v>0.1</v>
      </c>
      <c r="N773">
        <v>4676.3999999999996</v>
      </c>
      <c r="O773">
        <v>3200</v>
      </c>
      <c r="P773">
        <v>1476.4</v>
      </c>
      <c r="Q773" t="s">
        <v>27</v>
      </c>
      <c r="R773" t="s">
        <v>28</v>
      </c>
      <c r="S773">
        <v>1</v>
      </c>
    </row>
    <row r="774" spans="1:19">
      <c r="A774" t="s">
        <v>1118</v>
      </c>
      <c r="B774" s="2">
        <v>46117</v>
      </c>
      <c r="C774" t="s">
        <v>357</v>
      </c>
      <c r="D774" t="s">
        <v>237</v>
      </c>
      <c r="E774" t="s">
        <v>22</v>
      </c>
      <c r="F774">
        <v>42</v>
      </c>
      <c r="G774" t="s">
        <v>251</v>
      </c>
      <c r="H774" t="s">
        <v>251</v>
      </c>
      <c r="I774" t="s">
        <v>163</v>
      </c>
      <c r="J774" t="s">
        <v>214</v>
      </c>
      <c r="K774">
        <v>2</v>
      </c>
      <c r="L774">
        <v>1499</v>
      </c>
      <c r="M774" s="3">
        <v>0.1</v>
      </c>
      <c r="N774">
        <v>2698.2</v>
      </c>
      <c r="O774">
        <v>1800</v>
      </c>
      <c r="P774">
        <v>898.2</v>
      </c>
      <c r="Q774" t="s">
        <v>50</v>
      </c>
      <c r="R774" t="s">
        <v>51</v>
      </c>
      <c r="S774">
        <v>5</v>
      </c>
    </row>
    <row r="775" spans="1:19">
      <c r="A775" t="s">
        <v>1119</v>
      </c>
      <c r="B775" s="2">
        <v>46169</v>
      </c>
      <c r="C775" t="s">
        <v>227</v>
      </c>
      <c r="D775" t="s">
        <v>228</v>
      </c>
      <c r="E775" t="s">
        <v>22</v>
      </c>
      <c r="F775">
        <v>24</v>
      </c>
      <c r="G775" t="s">
        <v>93</v>
      </c>
      <c r="H775" t="s">
        <v>94</v>
      </c>
      <c r="I775" t="s">
        <v>25</v>
      </c>
      <c r="J775" t="s">
        <v>56</v>
      </c>
      <c r="K775">
        <v>1</v>
      </c>
      <c r="L775">
        <v>899</v>
      </c>
      <c r="M775" s="3">
        <v>0.15</v>
      </c>
      <c r="N775">
        <v>764.15</v>
      </c>
      <c r="O775">
        <v>550</v>
      </c>
      <c r="P775">
        <v>214.15</v>
      </c>
      <c r="Q775" t="s">
        <v>27</v>
      </c>
      <c r="R775" t="s">
        <v>77</v>
      </c>
      <c r="S775">
        <v>3</v>
      </c>
    </row>
    <row r="776" spans="1:19">
      <c r="A776" t="s">
        <v>1120</v>
      </c>
      <c r="B776" s="2">
        <v>46143</v>
      </c>
      <c r="C776" t="s">
        <v>315</v>
      </c>
      <c r="D776" t="s">
        <v>305</v>
      </c>
      <c r="E776" t="s">
        <v>22</v>
      </c>
      <c r="F776">
        <v>18</v>
      </c>
      <c r="G776" t="s">
        <v>48</v>
      </c>
      <c r="H776" t="s">
        <v>42</v>
      </c>
      <c r="I776" t="s">
        <v>25</v>
      </c>
      <c r="J776" t="s">
        <v>156</v>
      </c>
      <c r="K776">
        <v>3</v>
      </c>
      <c r="L776">
        <v>1999</v>
      </c>
      <c r="M776" s="3">
        <v>0.1</v>
      </c>
      <c r="N776">
        <v>5397.3</v>
      </c>
      <c r="O776">
        <v>3900</v>
      </c>
      <c r="P776">
        <v>1497.3</v>
      </c>
      <c r="Q776" t="s">
        <v>37</v>
      </c>
      <c r="R776" t="s">
        <v>51</v>
      </c>
      <c r="S776">
        <v>5</v>
      </c>
    </row>
    <row r="777" spans="1:19">
      <c r="A777" t="s">
        <v>1121</v>
      </c>
      <c r="B777" s="2">
        <v>45773</v>
      </c>
      <c r="C777" t="s">
        <v>354</v>
      </c>
      <c r="D777" t="s">
        <v>339</v>
      </c>
      <c r="E777" t="s">
        <v>32</v>
      </c>
      <c r="F777">
        <v>25</v>
      </c>
      <c r="G777" t="s">
        <v>115</v>
      </c>
      <c r="H777" t="s">
        <v>116</v>
      </c>
      <c r="I777" t="s">
        <v>75</v>
      </c>
      <c r="J777" t="s">
        <v>86</v>
      </c>
      <c r="K777">
        <v>4</v>
      </c>
      <c r="L777">
        <v>499</v>
      </c>
      <c r="M777" s="3">
        <v>0.1</v>
      </c>
      <c r="N777">
        <v>1796.4</v>
      </c>
      <c r="O777">
        <v>1200</v>
      </c>
      <c r="P777">
        <v>596.4</v>
      </c>
      <c r="Q777" t="s">
        <v>66</v>
      </c>
      <c r="R777" t="s">
        <v>77</v>
      </c>
      <c r="S777">
        <v>2</v>
      </c>
    </row>
    <row r="778" spans="1:19">
      <c r="A778" t="s">
        <v>1122</v>
      </c>
      <c r="B778" s="2">
        <v>46069</v>
      </c>
      <c r="C778" t="s">
        <v>705</v>
      </c>
      <c r="D778" t="s">
        <v>98</v>
      </c>
      <c r="E778" t="s">
        <v>32</v>
      </c>
      <c r="F778">
        <v>47</v>
      </c>
      <c r="G778" t="s">
        <v>141</v>
      </c>
      <c r="H778" t="s">
        <v>142</v>
      </c>
      <c r="I778" t="s">
        <v>25</v>
      </c>
      <c r="J778" t="s">
        <v>56</v>
      </c>
      <c r="K778">
        <v>3</v>
      </c>
      <c r="L778">
        <v>899</v>
      </c>
      <c r="M778" s="3">
        <v>0</v>
      </c>
      <c r="N778">
        <v>2697</v>
      </c>
      <c r="O778">
        <v>1650</v>
      </c>
      <c r="P778">
        <v>1047</v>
      </c>
      <c r="Q778" t="s">
        <v>50</v>
      </c>
      <c r="R778" t="s">
        <v>137</v>
      </c>
      <c r="S778">
        <v>4</v>
      </c>
    </row>
    <row r="779" spans="1:19">
      <c r="A779" t="s">
        <v>1123</v>
      </c>
      <c r="B779" s="2">
        <v>45857</v>
      </c>
      <c r="C779" t="s">
        <v>653</v>
      </c>
      <c r="D779" t="s">
        <v>255</v>
      </c>
      <c r="E779" t="s">
        <v>32</v>
      </c>
      <c r="F779">
        <v>38</v>
      </c>
      <c r="G779" t="s">
        <v>93</v>
      </c>
      <c r="H779" t="s">
        <v>94</v>
      </c>
      <c r="I779" t="s">
        <v>25</v>
      </c>
      <c r="J779" t="s">
        <v>26</v>
      </c>
      <c r="K779">
        <v>3</v>
      </c>
      <c r="L779">
        <v>2499</v>
      </c>
      <c r="M779" s="3">
        <v>0</v>
      </c>
      <c r="N779">
        <v>7497</v>
      </c>
      <c r="O779">
        <v>4800</v>
      </c>
      <c r="P779">
        <v>2697</v>
      </c>
      <c r="Q779" t="s">
        <v>50</v>
      </c>
      <c r="R779" t="s">
        <v>28</v>
      </c>
      <c r="S779">
        <v>3</v>
      </c>
    </row>
    <row r="780" spans="1:19">
      <c r="A780" t="s">
        <v>1124</v>
      </c>
      <c r="B780" s="2">
        <v>46114</v>
      </c>
      <c r="C780" t="s">
        <v>405</v>
      </c>
      <c r="D780" t="s">
        <v>213</v>
      </c>
      <c r="E780" t="s">
        <v>22</v>
      </c>
      <c r="F780">
        <v>28</v>
      </c>
      <c r="G780" t="s">
        <v>60</v>
      </c>
      <c r="H780" t="s">
        <v>61</v>
      </c>
      <c r="I780" t="s">
        <v>25</v>
      </c>
      <c r="J780" t="s">
        <v>156</v>
      </c>
      <c r="K780">
        <v>1</v>
      </c>
      <c r="L780">
        <v>1999</v>
      </c>
      <c r="M780" s="3">
        <v>0.2</v>
      </c>
      <c r="N780">
        <v>1599.2</v>
      </c>
      <c r="O780">
        <v>1300</v>
      </c>
      <c r="P780">
        <v>299.2</v>
      </c>
      <c r="Q780" t="s">
        <v>69</v>
      </c>
      <c r="R780" t="s">
        <v>51</v>
      </c>
      <c r="S780">
        <v>4</v>
      </c>
    </row>
    <row r="781" spans="1:19">
      <c r="A781" t="s">
        <v>1125</v>
      </c>
      <c r="B781" s="2">
        <v>46181</v>
      </c>
      <c r="C781" t="s">
        <v>789</v>
      </c>
      <c r="D781" t="s">
        <v>790</v>
      </c>
      <c r="E781" t="s">
        <v>22</v>
      </c>
      <c r="F781">
        <v>21</v>
      </c>
      <c r="G781" t="s">
        <v>141</v>
      </c>
      <c r="H781" t="s">
        <v>142</v>
      </c>
      <c r="I781" t="s">
        <v>35</v>
      </c>
      <c r="J781" t="s">
        <v>36</v>
      </c>
      <c r="K781">
        <v>3</v>
      </c>
      <c r="L781">
        <v>599</v>
      </c>
      <c r="M781" s="3">
        <v>0.2</v>
      </c>
      <c r="N781">
        <v>1437.6</v>
      </c>
      <c r="O781">
        <v>960</v>
      </c>
      <c r="P781">
        <v>477.6</v>
      </c>
      <c r="Q781" t="s">
        <v>69</v>
      </c>
      <c r="R781" t="s">
        <v>77</v>
      </c>
      <c r="S781">
        <v>3</v>
      </c>
    </row>
    <row r="782" spans="1:19">
      <c r="A782" t="s">
        <v>1126</v>
      </c>
      <c r="B782" s="2">
        <v>46053</v>
      </c>
      <c r="C782" t="s">
        <v>220</v>
      </c>
      <c r="D782" t="s">
        <v>221</v>
      </c>
      <c r="E782" t="s">
        <v>22</v>
      </c>
      <c r="F782">
        <v>27</v>
      </c>
      <c r="G782" t="s">
        <v>141</v>
      </c>
      <c r="H782" t="s">
        <v>142</v>
      </c>
      <c r="I782" t="s">
        <v>25</v>
      </c>
      <c r="J782" t="s">
        <v>62</v>
      </c>
      <c r="K782">
        <v>4</v>
      </c>
      <c r="L782">
        <v>1299</v>
      </c>
      <c r="M782" s="3">
        <v>0.1</v>
      </c>
      <c r="N782">
        <v>4676.3999999999996</v>
      </c>
      <c r="O782">
        <v>3200</v>
      </c>
      <c r="P782">
        <v>1476.4</v>
      </c>
      <c r="Q782" t="s">
        <v>37</v>
      </c>
      <c r="R782" t="s">
        <v>28</v>
      </c>
      <c r="S782">
        <v>3</v>
      </c>
    </row>
    <row r="783" spans="1:19">
      <c r="A783" t="s">
        <v>1127</v>
      </c>
      <c r="B783" s="2">
        <v>45747</v>
      </c>
      <c r="C783" t="s">
        <v>313</v>
      </c>
      <c r="D783" t="s">
        <v>72</v>
      </c>
      <c r="E783" t="s">
        <v>22</v>
      </c>
      <c r="F783">
        <v>45</v>
      </c>
      <c r="G783" t="s">
        <v>41</v>
      </c>
      <c r="H783" t="s">
        <v>42</v>
      </c>
      <c r="I783" t="s">
        <v>43</v>
      </c>
      <c r="J783" t="s">
        <v>44</v>
      </c>
      <c r="K783">
        <v>4</v>
      </c>
      <c r="L783">
        <v>1599</v>
      </c>
      <c r="M783" s="3">
        <v>0.2</v>
      </c>
      <c r="N783">
        <v>5116.8</v>
      </c>
      <c r="O783">
        <v>3800</v>
      </c>
      <c r="P783">
        <v>1316.8</v>
      </c>
      <c r="Q783" t="s">
        <v>27</v>
      </c>
      <c r="R783" t="s">
        <v>28</v>
      </c>
      <c r="S783">
        <v>4</v>
      </c>
    </row>
    <row r="784" spans="1:19">
      <c r="A784" t="s">
        <v>1128</v>
      </c>
      <c r="B784" s="2">
        <v>46092</v>
      </c>
      <c r="C784" t="s">
        <v>491</v>
      </c>
      <c r="D784" t="s">
        <v>92</v>
      </c>
      <c r="E784" t="s">
        <v>22</v>
      </c>
      <c r="F784">
        <v>25</v>
      </c>
      <c r="G784" t="s">
        <v>23</v>
      </c>
      <c r="H784" t="s">
        <v>24</v>
      </c>
      <c r="I784" t="s">
        <v>35</v>
      </c>
      <c r="J784" t="s">
        <v>136</v>
      </c>
      <c r="K784">
        <v>3</v>
      </c>
      <c r="L784">
        <v>799</v>
      </c>
      <c r="M784" s="3">
        <v>0.05</v>
      </c>
      <c r="N784">
        <v>2277.15</v>
      </c>
      <c r="O784">
        <v>1350</v>
      </c>
      <c r="P784">
        <v>927.15</v>
      </c>
      <c r="Q784" t="s">
        <v>66</v>
      </c>
      <c r="R784" t="s">
        <v>28</v>
      </c>
      <c r="S784">
        <v>5</v>
      </c>
    </row>
    <row r="785" spans="1:19">
      <c r="A785" t="s">
        <v>1129</v>
      </c>
      <c r="B785" s="2">
        <v>46144</v>
      </c>
      <c r="C785" t="s">
        <v>692</v>
      </c>
      <c r="D785" t="s">
        <v>343</v>
      </c>
      <c r="E785" t="s">
        <v>22</v>
      </c>
      <c r="F785">
        <v>50</v>
      </c>
      <c r="G785" t="s">
        <v>48</v>
      </c>
      <c r="H785" t="s">
        <v>42</v>
      </c>
      <c r="I785" t="s">
        <v>25</v>
      </c>
      <c r="J785" t="s">
        <v>62</v>
      </c>
      <c r="K785">
        <v>2</v>
      </c>
      <c r="L785">
        <v>1299</v>
      </c>
      <c r="M785" s="3">
        <v>0.1</v>
      </c>
      <c r="N785">
        <v>2338.1999999999998</v>
      </c>
      <c r="O785">
        <v>1600</v>
      </c>
      <c r="P785">
        <v>738.2</v>
      </c>
      <c r="Q785" t="s">
        <v>50</v>
      </c>
      <c r="R785" t="s">
        <v>51</v>
      </c>
      <c r="S785">
        <v>1</v>
      </c>
    </row>
    <row r="786" spans="1:19">
      <c r="A786" t="s">
        <v>1130</v>
      </c>
      <c r="B786" s="2">
        <v>45937</v>
      </c>
      <c r="C786" t="s">
        <v>516</v>
      </c>
      <c r="D786" t="s">
        <v>449</v>
      </c>
      <c r="E786" t="s">
        <v>22</v>
      </c>
      <c r="F786">
        <v>45</v>
      </c>
      <c r="G786" t="s">
        <v>41</v>
      </c>
      <c r="H786" t="s">
        <v>42</v>
      </c>
      <c r="I786" t="s">
        <v>25</v>
      </c>
      <c r="J786" t="s">
        <v>26</v>
      </c>
      <c r="K786">
        <v>1</v>
      </c>
      <c r="L786">
        <v>2499</v>
      </c>
      <c r="M786" s="3">
        <v>0.15</v>
      </c>
      <c r="N786">
        <v>2124.15</v>
      </c>
      <c r="O786">
        <v>1600</v>
      </c>
      <c r="P786">
        <v>524.15</v>
      </c>
      <c r="Q786" t="s">
        <v>66</v>
      </c>
      <c r="R786" t="s">
        <v>28</v>
      </c>
      <c r="S786">
        <v>4</v>
      </c>
    </row>
    <row r="787" spans="1:19">
      <c r="A787" t="s">
        <v>1131</v>
      </c>
      <c r="B787" s="2">
        <v>46048</v>
      </c>
      <c r="C787" t="s">
        <v>292</v>
      </c>
      <c r="D787" t="s">
        <v>293</v>
      </c>
      <c r="E787" t="s">
        <v>32</v>
      </c>
      <c r="F787">
        <v>29</v>
      </c>
      <c r="G787" t="s">
        <v>180</v>
      </c>
      <c r="H787" t="s">
        <v>181</v>
      </c>
      <c r="I787" t="s">
        <v>25</v>
      </c>
      <c r="J787" t="s">
        <v>62</v>
      </c>
      <c r="K787">
        <v>2</v>
      </c>
      <c r="L787">
        <v>1299</v>
      </c>
      <c r="M787" s="3">
        <v>0.05</v>
      </c>
      <c r="N787">
        <v>2468.1</v>
      </c>
      <c r="O787">
        <v>1600</v>
      </c>
      <c r="P787">
        <v>868.1</v>
      </c>
      <c r="Q787" t="s">
        <v>37</v>
      </c>
      <c r="R787" t="s">
        <v>28</v>
      </c>
      <c r="S787">
        <v>1</v>
      </c>
    </row>
    <row r="788" spans="1:19">
      <c r="A788" t="s">
        <v>1132</v>
      </c>
      <c r="B788" s="2">
        <v>46230</v>
      </c>
      <c r="C788" t="s">
        <v>227</v>
      </c>
      <c r="D788" t="s">
        <v>228</v>
      </c>
      <c r="E788" t="s">
        <v>22</v>
      </c>
      <c r="F788">
        <v>24</v>
      </c>
      <c r="G788" t="s">
        <v>93</v>
      </c>
      <c r="H788" t="s">
        <v>94</v>
      </c>
      <c r="I788" t="s">
        <v>75</v>
      </c>
      <c r="J788" t="s">
        <v>86</v>
      </c>
      <c r="K788">
        <v>3</v>
      </c>
      <c r="L788">
        <v>499</v>
      </c>
      <c r="M788" s="3">
        <v>0.15</v>
      </c>
      <c r="N788">
        <v>1272.45</v>
      </c>
      <c r="O788">
        <v>900</v>
      </c>
      <c r="P788">
        <v>372.45</v>
      </c>
      <c r="Q788" t="s">
        <v>66</v>
      </c>
      <c r="R788" t="s">
        <v>28</v>
      </c>
      <c r="S788">
        <v>1</v>
      </c>
    </row>
    <row r="789" spans="1:19">
      <c r="A789" t="s">
        <v>1133</v>
      </c>
      <c r="B789" s="2">
        <v>45785</v>
      </c>
      <c r="C789" t="s">
        <v>315</v>
      </c>
      <c r="D789" t="s">
        <v>305</v>
      </c>
      <c r="E789" t="s">
        <v>22</v>
      </c>
      <c r="F789">
        <v>18</v>
      </c>
      <c r="G789" t="s">
        <v>48</v>
      </c>
      <c r="H789" t="s">
        <v>42</v>
      </c>
      <c r="I789" t="s">
        <v>43</v>
      </c>
      <c r="J789" t="s">
        <v>197</v>
      </c>
      <c r="K789">
        <v>3</v>
      </c>
      <c r="L789">
        <v>1799</v>
      </c>
      <c r="M789" s="3">
        <v>0.15</v>
      </c>
      <c r="N789">
        <v>4587.45</v>
      </c>
      <c r="O789">
        <v>3150</v>
      </c>
      <c r="P789">
        <v>1437.45</v>
      </c>
      <c r="Q789" t="s">
        <v>37</v>
      </c>
      <c r="R789" t="s">
        <v>28</v>
      </c>
      <c r="S789">
        <v>4</v>
      </c>
    </row>
    <row r="790" spans="1:19">
      <c r="A790" t="s">
        <v>1134</v>
      </c>
      <c r="B790" s="2">
        <v>46162</v>
      </c>
      <c r="C790" t="s">
        <v>189</v>
      </c>
      <c r="D790" t="s">
        <v>190</v>
      </c>
      <c r="E790" t="s">
        <v>32</v>
      </c>
      <c r="F790">
        <v>22</v>
      </c>
      <c r="G790" t="s">
        <v>115</v>
      </c>
      <c r="H790" t="s">
        <v>116</v>
      </c>
      <c r="I790" t="s">
        <v>25</v>
      </c>
      <c r="J790" t="s">
        <v>156</v>
      </c>
      <c r="K790">
        <v>1</v>
      </c>
      <c r="L790">
        <v>1999</v>
      </c>
      <c r="M790" s="3">
        <v>0.1</v>
      </c>
      <c r="N790">
        <v>1799.1</v>
      </c>
      <c r="O790">
        <v>1300</v>
      </c>
      <c r="P790">
        <v>499.1</v>
      </c>
      <c r="Q790" t="s">
        <v>69</v>
      </c>
      <c r="R790" t="s">
        <v>28</v>
      </c>
      <c r="S790">
        <v>3</v>
      </c>
    </row>
    <row r="791" spans="1:19">
      <c r="A791" t="s">
        <v>1135</v>
      </c>
      <c r="B791" s="2">
        <v>46145</v>
      </c>
      <c r="C791" t="s">
        <v>212</v>
      </c>
      <c r="D791" t="s">
        <v>213</v>
      </c>
      <c r="E791" t="s">
        <v>22</v>
      </c>
      <c r="F791">
        <v>33</v>
      </c>
      <c r="G791" t="s">
        <v>48</v>
      </c>
      <c r="H791" t="s">
        <v>42</v>
      </c>
      <c r="I791" t="s">
        <v>35</v>
      </c>
      <c r="J791" t="s">
        <v>36</v>
      </c>
      <c r="K791">
        <v>4</v>
      </c>
      <c r="L791">
        <v>599</v>
      </c>
      <c r="M791" s="3">
        <v>0.1</v>
      </c>
      <c r="N791">
        <v>2156.4</v>
      </c>
      <c r="O791">
        <v>1280</v>
      </c>
      <c r="P791">
        <v>876.4</v>
      </c>
      <c r="Q791" t="s">
        <v>69</v>
      </c>
      <c r="R791" t="s">
        <v>28</v>
      </c>
      <c r="S791">
        <v>5</v>
      </c>
    </row>
    <row r="792" spans="1:19">
      <c r="A792" t="s">
        <v>1136</v>
      </c>
      <c r="B792" s="2">
        <v>45717</v>
      </c>
      <c r="C792" t="s">
        <v>20</v>
      </c>
      <c r="D792" t="s">
        <v>21</v>
      </c>
      <c r="E792" t="s">
        <v>22</v>
      </c>
      <c r="F792">
        <v>52</v>
      </c>
      <c r="G792" t="s">
        <v>23</v>
      </c>
      <c r="H792" t="s">
        <v>24</v>
      </c>
      <c r="I792" t="s">
        <v>43</v>
      </c>
      <c r="J792" t="s">
        <v>197</v>
      </c>
      <c r="K792">
        <v>2</v>
      </c>
      <c r="L792">
        <v>1799</v>
      </c>
      <c r="M792" s="3">
        <v>0.2</v>
      </c>
      <c r="N792">
        <v>2878.4</v>
      </c>
      <c r="O792">
        <v>2100</v>
      </c>
      <c r="P792">
        <v>778.4</v>
      </c>
      <c r="Q792" t="s">
        <v>27</v>
      </c>
      <c r="R792" t="s">
        <v>28</v>
      </c>
      <c r="S792">
        <v>2</v>
      </c>
    </row>
    <row r="793" spans="1:19">
      <c r="A793" t="s">
        <v>1137</v>
      </c>
      <c r="B793" s="2">
        <v>46027</v>
      </c>
      <c r="C793" t="s">
        <v>653</v>
      </c>
      <c r="D793" t="s">
        <v>255</v>
      </c>
      <c r="E793" t="s">
        <v>32</v>
      </c>
      <c r="F793">
        <v>38</v>
      </c>
      <c r="G793" t="s">
        <v>93</v>
      </c>
      <c r="H793" t="s">
        <v>94</v>
      </c>
      <c r="I793" t="s">
        <v>43</v>
      </c>
      <c r="J793" t="s">
        <v>95</v>
      </c>
      <c r="K793">
        <v>1</v>
      </c>
      <c r="L793">
        <v>2499</v>
      </c>
      <c r="M793" s="3">
        <v>0.1</v>
      </c>
      <c r="N793">
        <v>2249.1</v>
      </c>
      <c r="O793">
        <v>1500</v>
      </c>
      <c r="P793">
        <v>749.1</v>
      </c>
      <c r="Q793" t="s">
        <v>66</v>
      </c>
      <c r="R793" t="s">
        <v>28</v>
      </c>
      <c r="S793">
        <v>3</v>
      </c>
    </row>
    <row r="794" spans="1:19">
      <c r="A794" t="s">
        <v>1138</v>
      </c>
      <c r="B794" s="2">
        <v>45736</v>
      </c>
      <c r="C794" t="s">
        <v>506</v>
      </c>
      <c r="D794" t="s">
        <v>414</v>
      </c>
      <c r="E794" t="s">
        <v>22</v>
      </c>
      <c r="F794">
        <v>42</v>
      </c>
      <c r="G794" t="s">
        <v>180</v>
      </c>
      <c r="H794" t="s">
        <v>181</v>
      </c>
      <c r="I794" t="s">
        <v>43</v>
      </c>
      <c r="J794" t="s">
        <v>44</v>
      </c>
      <c r="K794">
        <v>3</v>
      </c>
      <c r="L794">
        <v>1599</v>
      </c>
      <c r="M794" s="3">
        <v>0.2</v>
      </c>
      <c r="N794">
        <v>3837.6</v>
      </c>
      <c r="O794">
        <v>2850</v>
      </c>
      <c r="P794">
        <v>987.6</v>
      </c>
      <c r="Q794" t="s">
        <v>50</v>
      </c>
      <c r="R794" t="s">
        <v>28</v>
      </c>
      <c r="S794">
        <v>2</v>
      </c>
    </row>
    <row r="795" spans="1:19">
      <c r="A795" t="s">
        <v>1139</v>
      </c>
      <c r="B795" s="2">
        <v>45988</v>
      </c>
      <c r="C795" t="s">
        <v>579</v>
      </c>
      <c r="D795" t="s">
        <v>145</v>
      </c>
      <c r="E795" t="s">
        <v>32</v>
      </c>
      <c r="F795">
        <v>22</v>
      </c>
      <c r="G795" t="s">
        <v>141</v>
      </c>
      <c r="H795" t="s">
        <v>142</v>
      </c>
      <c r="I795" t="s">
        <v>75</v>
      </c>
      <c r="J795" t="s">
        <v>106</v>
      </c>
      <c r="K795">
        <v>2</v>
      </c>
      <c r="L795">
        <v>899</v>
      </c>
      <c r="M795" s="3">
        <v>0.2</v>
      </c>
      <c r="N795">
        <v>1438.4</v>
      </c>
      <c r="O795">
        <v>1200</v>
      </c>
      <c r="P795">
        <v>238.4</v>
      </c>
      <c r="Q795" t="s">
        <v>37</v>
      </c>
      <c r="R795" t="s">
        <v>137</v>
      </c>
      <c r="S795">
        <v>3</v>
      </c>
    </row>
    <row r="796" spans="1:19">
      <c r="A796" t="s">
        <v>1140</v>
      </c>
      <c r="B796" s="2">
        <v>46205</v>
      </c>
      <c r="C796" t="s">
        <v>39</v>
      </c>
      <c r="D796" t="s">
        <v>40</v>
      </c>
      <c r="E796" t="s">
        <v>22</v>
      </c>
      <c r="F796">
        <v>39</v>
      </c>
      <c r="G796" t="s">
        <v>41</v>
      </c>
      <c r="H796" t="s">
        <v>42</v>
      </c>
      <c r="I796" t="s">
        <v>117</v>
      </c>
      <c r="J796" t="s">
        <v>118</v>
      </c>
      <c r="K796">
        <v>3</v>
      </c>
      <c r="L796">
        <v>999</v>
      </c>
      <c r="M796" s="3">
        <v>0</v>
      </c>
      <c r="N796">
        <v>2997</v>
      </c>
      <c r="O796">
        <v>1650</v>
      </c>
      <c r="P796">
        <v>1347</v>
      </c>
      <c r="Q796" t="s">
        <v>50</v>
      </c>
      <c r="R796" t="s">
        <v>28</v>
      </c>
      <c r="S796">
        <v>2</v>
      </c>
    </row>
    <row r="797" spans="1:19">
      <c r="A797" t="s">
        <v>1141</v>
      </c>
      <c r="B797" s="2">
        <v>46154</v>
      </c>
      <c r="C797" t="s">
        <v>172</v>
      </c>
      <c r="D797" t="s">
        <v>173</v>
      </c>
      <c r="E797" t="s">
        <v>22</v>
      </c>
      <c r="F797">
        <v>50</v>
      </c>
      <c r="G797" t="s">
        <v>48</v>
      </c>
      <c r="H797" t="s">
        <v>42</v>
      </c>
      <c r="I797" t="s">
        <v>25</v>
      </c>
      <c r="J797" t="s">
        <v>62</v>
      </c>
      <c r="K797">
        <v>3</v>
      </c>
      <c r="L797">
        <v>1299</v>
      </c>
      <c r="M797" s="3">
        <v>0.1</v>
      </c>
      <c r="N797">
        <v>3507.3</v>
      </c>
      <c r="O797">
        <v>2400</v>
      </c>
      <c r="P797">
        <v>1107.3</v>
      </c>
      <c r="Q797" t="s">
        <v>66</v>
      </c>
      <c r="R797" t="s">
        <v>28</v>
      </c>
      <c r="S797">
        <v>2</v>
      </c>
    </row>
    <row r="798" spans="1:19">
      <c r="A798" t="s">
        <v>1142</v>
      </c>
      <c r="B798" s="2">
        <v>45884</v>
      </c>
      <c r="C798" t="s">
        <v>595</v>
      </c>
      <c r="D798" t="s">
        <v>596</v>
      </c>
      <c r="E798" t="s">
        <v>22</v>
      </c>
      <c r="F798">
        <v>25</v>
      </c>
      <c r="G798" t="s">
        <v>180</v>
      </c>
      <c r="H798" t="s">
        <v>181</v>
      </c>
      <c r="I798" t="s">
        <v>43</v>
      </c>
      <c r="J798" t="s">
        <v>49</v>
      </c>
      <c r="K798">
        <v>2</v>
      </c>
      <c r="L798">
        <v>799</v>
      </c>
      <c r="M798" s="3">
        <v>0.2</v>
      </c>
      <c r="N798">
        <v>1278.4000000000001</v>
      </c>
      <c r="O798">
        <v>900</v>
      </c>
      <c r="P798">
        <v>378.4</v>
      </c>
      <c r="Q798" t="s">
        <v>27</v>
      </c>
      <c r="R798" t="s">
        <v>137</v>
      </c>
      <c r="S798">
        <v>1</v>
      </c>
    </row>
    <row r="799" spans="1:19">
      <c r="A799" t="s">
        <v>1143</v>
      </c>
      <c r="B799" s="2">
        <v>45792</v>
      </c>
      <c r="C799" t="s">
        <v>491</v>
      </c>
      <c r="D799" t="s">
        <v>92</v>
      </c>
      <c r="E799" t="s">
        <v>22</v>
      </c>
      <c r="F799">
        <v>25</v>
      </c>
      <c r="G799" t="s">
        <v>23</v>
      </c>
      <c r="H799" t="s">
        <v>24</v>
      </c>
      <c r="I799" t="s">
        <v>35</v>
      </c>
      <c r="J799" t="s">
        <v>136</v>
      </c>
      <c r="K799">
        <v>1</v>
      </c>
      <c r="L799">
        <v>799</v>
      </c>
      <c r="M799" s="3">
        <v>0</v>
      </c>
      <c r="N799">
        <v>799</v>
      </c>
      <c r="O799">
        <v>450</v>
      </c>
      <c r="P799">
        <v>349</v>
      </c>
      <c r="Q799" t="s">
        <v>69</v>
      </c>
      <c r="R799" t="s">
        <v>28</v>
      </c>
      <c r="S799">
        <v>3</v>
      </c>
    </row>
    <row r="800" spans="1:19">
      <c r="A800" t="s">
        <v>1144</v>
      </c>
      <c r="B800" s="2">
        <v>46193</v>
      </c>
      <c r="C800" t="s">
        <v>131</v>
      </c>
      <c r="D800" t="s">
        <v>132</v>
      </c>
      <c r="E800" t="s">
        <v>32</v>
      </c>
      <c r="F800">
        <v>44</v>
      </c>
      <c r="G800" t="s">
        <v>23</v>
      </c>
      <c r="H800" t="s">
        <v>24</v>
      </c>
      <c r="I800" t="s">
        <v>25</v>
      </c>
      <c r="J800" t="s">
        <v>62</v>
      </c>
      <c r="K800">
        <v>4</v>
      </c>
      <c r="L800">
        <v>1299</v>
      </c>
      <c r="M800" s="3">
        <v>0.2</v>
      </c>
      <c r="N800">
        <v>4156.8</v>
      </c>
      <c r="O800">
        <v>3200</v>
      </c>
      <c r="P800">
        <v>956.8</v>
      </c>
      <c r="Q800" t="s">
        <v>37</v>
      </c>
      <c r="R800" t="s">
        <v>28</v>
      </c>
      <c r="S800">
        <v>3</v>
      </c>
    </row>
    <row r="801" spans="1:19">
      <c r="A801" t="s">
        <v>1145</v>
      </c>
      <c r="B801" s="2">
        <v>45789</v>
      </c>
      <c r="C801" t="s">
        <v>186</v>
      </c>
      <c r="D801" t="s">
        <v>187</v>
      </c>
      <c r="E801" t="s">
        <v>22</v>
      </c>
      <c r="F801">
        <v>42</v>
      </c>
      <c r="G801" t="s">
        <v>60</v>
      </c>
      <c r="H801" t="s">
        <v>61</v>
      </c>
      <c r="I801" t="s">
        <v>117</v>
      </c>
      <c r="J801" t="s">
        <v>152</v>
      </c>
      <c r="K801">
        <v>1</v>
      </c>
      <c r="L801">
        <v>899</v>
      </c>
      <c r="M801" s="3">
        <v>0.05</v>
      </c>
      <c r="N801">
        <v>854.05</v>
      </c>
      <c r="O801">
        <v>500</v>
      </c>
      <c r="P801">
        <v>354.05</v>
      </c>
      <c r="Q801" t="s">
        <v>27</v>
      </c>
      <c r="R801" t="s">
        <v>28</v>
      </c>
      <c r="S801">
        <v>3</v>
      </c>
    </row>
    <row r="802" spans="1:19">
      <c r="A802" t="s">
        <v>1146</v>
      </c>
      <c r="B802" s="2">
        <v>46093</v>
      </c>
      <c r="C802" t="s">
        <v>169</v>
      </c>
      <c r="D802" t="s">
        <v>170</v>
      </c>
      <c r="E802" t="s">
        <v>32</v>
      </c>
      <c r="F802">
        <v>37</v>
      </c>
      <c r="G802" t="s">
        <v>60</v>
      </c>
      <c r="H802" t="s">
        <v>61</v>
      </c>
      <c r="I802" t="s">
        <v>43</v>
      </c>
      <c r="J802" t="s">
        <v>49</v>
      </c>
      <c r="K802">
        <v>2</v>
      </c>
      <c r="L802">
        <v>799</v>
      </c>
      <c r="M802" s="3">
        <v>0</v>
      </c>
      <c r="N802">
        <v>1598</v>
      </c>
      <c r="O802">
        <v>900</v>
      </c>
      <c r="P802">
        <v>698</v>
      </c>
      <c r="Q802" t="s">
        <v>69</v>
      </c>
      <c r="R802" t="s">
        <v>28</v>
      </c>
      <c r="S802">
        <v>4</v>
      </c>
    </row>
    <row r="803" spans="1:19">
      <c r="A803" t="s">
        <v>1147</v>
      </c>
      <c r="B803" s="2">
        <v>45691</v>
      </c>
      <c r="C803" t="s">
        <v>267</v>
      </c>
      <c r="D803" t="s">
        <v>268</v>
      </c>
      <c r="E803" t="s">
        <v>22</v>
      </c>
      <c r="F803">
        <v>35</v>
      </c>
      <c r="G803" t="s">
        <v>141</v>
      </c>
      <c r="H803" t="s">
        <v>142</v>
      </c>
      <c r="I803" t="s">
        <v>25</v>
      </c>
      <c r="J803" t="s">
        <v>68</v>
      </c>
      <c r="K803">
        <v>2</v>
      </c>
      <c r="L803">
        <v>2999</v>
      </c>
      <c r="M803" s="3">
        <v>0</v>
      </c>
      <c r="N803">
        <v>5998</v>
      </c>
      <c r="O803">
        <v>3800</v>
      </c>
      <c r="P803">
        <v>2198</v>
      </c>
      <c r="Q803" t="s">
        <v>50</v>
      </c>
      <c r="R803" t="s">
        <v>28</v>
      </c>
      <c r="S803">
        <v>4</v>
      </c>
    </row>
    <row r="804" spans="1:19">
      <c r="A804" t="s">
        <v>1148</v>
      </c>
      <c r="B804" s="2">
        <v>45966</v>
      </c>
      <c r="C804" t="s">
        <v>562</v>
      </c>
      <c r="D804" t="s">
        <v>563</v>
      </c>
      <c r="E804" t="s">
        <v>22</v>
      </c>
      <c r="F804">
        <v>27</v>
      </c>
      <c r="G804" t="s">
        <v>180</v>
      </c>
      <c r="H804" t="s">
        <v>181</v>
      </c>
      <c r="I804" t="s">
        <v>43</v>
      </c>
      <c r="J804" t="s">
        <v>197</v>
      </c>
      <c r="K804">
        <v>1</v>
      </c>
      <c r="L804">
        <v>1799</v>
      </c>
      <c r="M804" s="3">
        <v>0</v>
      </c>
      <c r="N804">
        <v>1799</v>
      </c>
      <c r="O804">
        <v>1050</v>
      </c>
      <c r="P804">
        <v>749</v>
      </c>
      <c r="Q804" t="s">
        <v>69</v>
      </c>
      <c r="R804" t="s">
        <v>28</v>
      </c>
      <c r="S804">
        <v>1</v>
      </c>
    </row>
    <row r="805" spans="1:19">
      <c r="A805" t="s">
        <v>1149</v>
      </c>
      <c r="B805" s="2">
        <v>46017</v>
      </c>
      <c r="C805" t="s">
        <v>413</v>
      </c>
      <c r="D805" t="s">
        <v>414</v>
      </c>
      <c r="E805" t="s">
        <v>22</v>
      </c>
      <c r="F805">
        <v>42</v>
      </c>
      <c r="G805" t="s">
        <v>33</v>
      </c>
      <c r="H805" t="s">
        <v>34</v>
      </c>
      <c r="I805" t="s">
        <v>75</v>
      </c>
      <c r="J805" t="s">
        <v>86</v>
      </c>
      <c r="K805">
        <v>2</v>
      </c>
      <c r="L805">
        <v>499</v>
      </c>
      <c r="M805" s="3">
        <v>0.05</v>
      </c>
      <c r="N805">
        <v>948.1</v>
      </c>
      <c r="O805">
        <v>600</v>
      </c>
      <c r="P805">
        <v>348.1</v>
      </c>
      <c r="Q805" t="s">
        <v>69</v>
      </c>
      <c r="R805" t="s">
        <v>28</v>
      </c>
      <c r="S805">
        <v>3</v>
      </c>
    </row>
    <row r="806" spans="1:19">
      <c r="A806" t="s">
        <v>1150</v>
      </c>
      <c r="B806" s="2">
        <v>46170</v>
      </c>
      <c r="C806" t="s">
        <v>212</v>
      </c>
      <c r="D806" t="s">
        <v>213</v>
      </c>
      <c r="E806" t="s">
        <v>22</v>
      </c>
      <c r="F806">
        <v>33</v>
      </c>
      <c r="G806" t="s">
        <v>48</v>
      </c>
      <c r="H806" t="s">
        <v>42</v>
      </c>
      <c r="I806" t="s">
        <v>163</v>
      </c>
      <c r="J806" t="s">
        <v>214</v>
      </c>
      <c r="K806">
        <v>3</v>
      </c>
      <c r="L806">
        <v>1499</v>
      </c>
      <c r="M806" s="3">
        <v>0.05</v>
      </c>
      <c r="N806">
        <v>4272.1499999999996</v>
      </c>
      <c r="O806">
        <v>2700</v>
      </c>
      <c r="P806">
        <v>1572.15</v>
      </c>
      <c r="Q806" t="s">
        <v>50</v>
      </c>
      <c r="R806" t="s">
        <v>28</v>
      </c>
      <c r="S806">
        <v>5</v>
      </c>
    </row>
    <row r="807" spans="1:19">
      <c r="A807" t="s">
        <v>1151</v>
      </c>
      <c r="B807" s="2">
        <v>45880</v>
      </c>
      <c r="C807" t="s">
        <v>670</v>
      </c>
      <c r="D807" t="s">
        <v>671</v>
      </c>
      <c r="E807" t="s">
        <v>22</v>
      </c>
      <c r="F807">
        <v>38</v>
      </c>
      <c r="G807" t="s">
        <v>180</v>
      </c>
      <c r="H807" t="s">
        <v>181</v>
      </c>
      <c r="I807" t="s">
        <v>25</v>
      </c>
      <c r="J807" t="s">
        <v>56</v>
      </c>
      <c r="K807">
        <v>1</v>
      </c>
      <c r="L807">
        <v>899</v>
      </c>
      <c r="M807" s="3">
        <v>0.2</v>
      </c>
      <c r="N807">
        <v>719.2</v>
      </c>
      <c r="O807">
        <v>550</v>
      </c>
      <c r="P807">
        <v>169.2</v>
      </c>
      <c r="Q807" t="s">
        <v>27</v>
      </c>
      <c r="R807" t="s">
        <v>51</v>
      </c>
      <c r="S807">
        <v>2</v>
      </c>
    </row>
    <row r="808" spans="1:19">
      <c r="A808" t="s">
        <v>1152</v>
      </c>
      <c r="B808" s="2">
        <v>46174</v>
      </c>
      <c r="C808" t="s">
        <v>467</v>
      </c>
      <c r="D808" t="s">
        <v>322</v>
      </c>
      <c r="E808" t="s">
        <v>32</v>
      </c>
      <c r="F808">
        <v>41</v>
      </c>
      <c r="G808" t="s">
        <v>55</v>
      </c>
      <c r="H808" t="s">
        <v>34</v>
      </c>
      <c r="I808" t="s">
        <v>25</v>
      </c>
      <c r="J808" t="s">
        <v>156</v>
      </c>
      <c r="K808">
        <v>1</v>
      </c>
      <c r="L808">
        <v>1999</v>
      </c>
      <c r="M808" s="3">
        <v>0.05</v>
      </c>
      <c r="N808">
        <v>1899.05</v>
      </c>
      <c r="O808">
        <v>1300</v>
      </c>
      <c r="P808">
        <v>599.04999999999995</v>
      </c>
      <c r="Q808" t="s">
        <v>66</v>
      </c>
      <c r="R808" t="s">
        <v>28</v>
      </c>
      <c r="S808">
        <v>5</v>
      </c>
    </row>
    <row r="809" spans="1:19">
      <c r="A809" t="s">
        <v>1153</v>
      </c>
      <c r="B809" s="2">
        <v>46021</v>
      </c>
      <c r="C809" t="s">
        <v>46</v>
      </c>
      <c r="D809" t="s">
        <v>47</v>
      </c>
      <c r="E809" t="s">
        <v>32</v>
      </c>
      <c r="F809">
        <v>26</v>
      </c>
      <c r="G809" t="s">
        <v>48</v>
      </c>
      <c r="H809" t="s">
        <v>42</v>
      </c>
      <c r="I809" t="s">
        <v>35</v>
      </c>
      <c r="J809" t="s">
        <v>136</v>
      </c>
      <c r="K809">
        <v>1</v>
      </c>
      <c r="L809">
        <v>799</v>
      </c>
      <c r="M809" s="3">
        <v>0.05</v>
      </c>
      <c r="N809">
        <v>759.05</v>
      </c>
      <c r="O809">
        <v>450</v>
      </c>
      <c r="P809">
        <v>309.05</v>
      </c>
      <c r="Q809" t="s">
        <v>66</v>
      </c>
      <c r="R809" t="s">
        <v>28</v>
      </c>
      <c r="S809">
        <v>5</v>
      </c>
    </row>
    <row r="810" spans="1:19">
      <c r="A810" t="s">
        <v>1154</v>
      </c>
      <c r="B810" s="2">
        <v>45784</v>
      </c>
      <c r="C810" t="s">
        <v>183</v>
      </c>
      <c r="D810" t="s">
        <v>184</v>
      </c>
      <c r="E810" t="s">
        <v>22</v>
      </c>
      <c r="F810">
        <v>43</v>
      </c>
      <c r="G810" t="s">
        <v>60</v>
      </c>
      <c r="H810" t="s">
        <v>61</v>
      </c>
      <c r="I810" t="s">
        <v>163</v>
      </c>
      <c r="J810" t="s">
        <v>234</v>
      </c>
      <c r="K810">
        <v>1</v>
      </c>
      <c r="L810">
        <v>999</v>
      </c>
      <c r="M810" s="3">
        <v>0.1</v>
      </c>
      <c r="N810">
        <v>899.1</v>
      </c>
      <c r="O810">
        <v>600</v>
      </c>
      <c r="P810">
        <v>299.10000000000002</v>
      </c>
      <c r="Q810" t="s">
        <v>66</v>
      </c>
      <c r="R810" t="s">
        <v>28</v>
      </c>
      <c r="S810">
        <v>2</v>
      </c>
    </row>
    <row r="811" spans="1:19">
      <c r="A811" t="s">
        <v>1155</v>
      </c>
      <c r="B811" s="2">
        <v>45699</v>
      </c>
      <c r="C811" t="s">
        <v>230</v>
      </c>
      <c r="D811" t="s">
        <v>231</v>
      </c>
      <c r="E811" t="s">
        <v>32</v>
      </c>
      <c r="F811">
        <v>35</v>
      </c>
      <c r="G811" t="s">
        <v>55</v>
      </c>
      <c r="H811" t="s">
        <v>34</v>
      </c>
      <c r="I811" t="s">
        <v>163</v>
      </c>
      <c r="J811" t="s">
        <v>214</v>
      </c>
      <c r="K811">
        <v>3</v>
      </c>
      <c r="L811">
        <v>1499</v>
      </c>
      <c r="M811" s="3">
        <v>0.2</v>
      </c>
      <c r="N811">
        <v>3597.6</v>
      </c>
      <c r="O811">
        <v>2700</v>
      </c>
      <c r="P811">
        <v>897.6</v>
      </c>
      <c r="Q811" t="s">
        <v>69</v>
      </c>
      <c r="R811" t="s">
        <v>28</v>
      </c>
      <c r="S811">
        <v>1</v>
      </c>
    </row>
    <row r="812" spans="1:19">
      <c r="A812" t="s">
        <v>1156</v>
      </c>
      <c r="B812" s="2">
        <v>45977</v>
      </c>
      <c r="C812" t="s">
        <v>202</v>
      </c>
      <c r="D812" t="s">
        <v>89</v>
      </c>
      <c r="E812" t="s">
        <v>22</v>
      </c>
      <c r="F812">
        <v>50</v>
      </c>
      <c r="G812" t="s">
        <v>93</v>
      </c>
      <c r="H812" t="s">
        <v>94</v>
      </c>
      <c r="I812" t="s">
        <v>43</v>
      </c>
      <c r="J812" t="s">
        <v>44</v>
      </c>
      <c r="K812">
        <v>4</v>
      </c>
      <c r="L812">
        <v>1599</v>
      </c>
      <c r="M812" s="3">
        <v>0.2</v>
      </c>
      <c r="N812">
        <v>5116.8</v>
      </c>
      <c r="O812">
        <v>3800</v>
      </c>
      <c r="P812">
        <v>1316.8</v>
      </c>
      <c r="Q812" t="s">
        <v>66</v>
      </c>
      <c r="R812" t="s">
        <v>28</v>
      </c>
      <c r="S812">
        <v>4</v>
      </c>
    </row>
    <row r="813" spans="1:19">
      <c r="A813" t="s">
        <v>1157</v>
      </c>
      <c r="B813" s="2">
        <v>46145</v>
      </c>
      <c r="C813" t="s">
        <v>623</v>
      </c>
      <c r="D813" t="s">
        <v>624</v>
      </c>
      <c r="E813" t="s">
        <v>22</v>
      </c>
      <c r="F813">
        <v>52</v>
      </c>
      <c r="G813" t="s">
        <v>60</v>
      </c>
      <c r="H813" t="s">
        <v>61</v>
      </c>
      <c r="I813" t="s">
        <v>163</v>
      </c>
      <c r="J813" t="s">
        <v>234</v>
      </c>
      <c r="K813">
        <v>2</v>
      </c>
      <c r="L813">
        <v>999</v>
      </c>
      <c r="M813" s="3">
        <v>0</v>
      </c>
      <c r="N813">
        <v>1998</v>
      </c>
      <c r="O813">
        <v>1200</v>
      </c>
      <c r="P813">
        <v>798</v>
      </c>
      <c r="Q813" t="s">
        <v>37</v>
      </c>
      <c r="R813" t="s">
        <v>28</v>
      </c>
      <c r="S813">
        <v>4</v>
      </c>
    </row>
    <row r="814" spans="1:19">
      <c r="A814" t="s">
        <v>1158</v>
      </c>
      <c r="B814" s="2">
        <v>45745</v>
      </c>
      <c r="C814" t="s">
        <v>595</v>
      </c>
      <c r="D814" t="s">
        <v>596</v>
      </c>
      <c r="E814" t="s">
        <v>22</v>
      </c>
      <c r="F814">
        <v>25</v>
      </c>
      <c r="G814" t="s">
        <v>180</v>
      </c>
      <c r="H814" t="s">
        <v>181</v>
      </c>
      <c r="I814" t="s">
        <v>163</v>
      </c>
      <c r="J814" t="s">
        <v>290</v>
      </c>
      <c r="K814">
        <v>4</v>
      </c>
      <c r="L814">
        <v>1999</v>
      </c>
      <c r="M814" s="3">
        <v>0.2</v>
      </c>
      <c r="N814">
        <v>6396.8</v>
      </c>
      <c r="O814">
        <v>4800</v>
      </c>
      <c r="P814">
        <v>1596.8</v>
      </c>
      <c r="Q814" t="s">
        <v>69</v>
      </c>
      <c r="R814" t="s">
        <v>28</v>
      </c>
      <c r="S814">
        <v>4</v>
      </c>
    </row>
    <row r="815" spans="1:19">
      <c r="A815" t="s">
        <v>1159</v>
      </c>
      <c r="B815" s="2">
        <v>46030</v>
      </c>
      <c r="C815" t="s">
        <v>595</v>
      </c>
      <c r="D815" t="s">
        <v>596</v>
      </c>
      <c r="E815" t="s">
        <v>22</v>
      </c>
      <c r="F815">
        <v>25</v>
      </c>
      <c r="G815" t="s">
        <v>180</v>
      </c>
      <c r="H815" t="s">
        <v>181</v>
      </c>
      <c r="I815" t="s">
        <v>117</v>
      </c>
      <c r="J815" t="s">
        <v>152</v>
      </c>
      <c r="K815">
        <v>2</v>
      </c>
      <c r="L815">
        <v>899</v>
      </c>
      <c r="M815" s="3">
        <v>0</v>
      </c>
      <c r="N815">
        <v>1798</v>
      </c>
      <c r="O815">
        <v>1000</v>
      </c>
      <c r="P815">
        <v>798</v>
      </c>
      <c r="Q815" t="s">
        <v>27</v>
      </c>
      <c r="R815" t="s">
        <v>28</v>
      </c>
      <c r="S815">
        <v>5</v>
      </c>
    </row>
    <row r="816" spans="1:19">
      <c r="A816" t="s">
        <v>1160</v>
      </c>
      <c r="B816" s="2">
        <v>46169</v>
      </c>
      <c r="C816" t="s">
        <v>128</v>
      </c>
      <c r="D816" t="s">
        <v>129</v>
      </c>
      <c r="E816" t="s">
        <v>22</v>
      </c>
      <c r="F816">
        <v>42</v>
      </c>
      <c r="G816" t="s">
        <v>105</v>
      </c>
      <c r="H816" t="s">
        <v>105</v>
      </c>
      <c r="I816" t="s">
        <v>25</v>
      </c>
      <c r="J816" t="s">
        <v>56</v>
      </c>
      <c r="K816">
        <v>2</v>
      </c>
      <c r="L816">
        <v>899</v>
      </c>
      <c r="M816" s="3">
        <v>0.15</v>
      </c>
      <c r="N816">
        <v>1528.3</v>
      </c>
      <c r="O816">
        <v>1100</v>
      </c>
      <c r="P816">
        <v>428.3</v>
      </c>
      <c r="Q816" t="s">
        <v>37</v>
      </c>
      <c r="R816" t="s">
        <v>28</v>
      </c>
      <c r="S816">
        <v>5</v>
      </c>
    </row>
    <row r="817" spans="1:19">
      <c r="A817" t="s">
        <v>1161</v>
      </c>
      <c r="B817" s="2">
        <v>46145</v>
      </c>
      <c r="C817" t="s">
        <v>39</v>
      </c>
      <c r="D817" t="s">
        <v>40</v>
      </c>
      <c r="E817" t="s">
        <v>22</v>
      </c>
      <c r="F817">
        <v>39</v>
      </c>
      <c r="G817" t="s">
        <v>41</v>
      </c>
      <c r="H817" t="s">
        <v>42</v>
      </c>
      <c r="I817" t="s">
        <v>75</v>
      </c>
      <c r="J817" t="s">
        <v>76</v>
      </c>
      <c r="K817">
        <v>4</v>
      </c>
      <c r="L817">
        <v>399</v>
      </c>
      <c r="M817" s="3">
        <v>0.1</v>
      </c>
      <c r="N817">
        <v>1436.4</v>
      </c>
      <c r="O817">
        <v>880</v>
      </c>
      <c r="P817">
        <v>556.4</v>
      </c>
      <c r="Q817" t="s">
        <v>50</v>
      </c>
      <c r="R817" t="s">
        <v>51</v>
      </c>
      <c r="S817">
        <v>4</v>
      </c>
    </row>
    <row r="818" spans="1:19">
      <c r="A818" t="s">
        <v>1162</v>
      </c>
      <c r="B818" s="2">
        <v>45768</v>
      </c>
      <c r="C818" t="s">
        <v>150</v>
      </c>
      <c r="D818" t="s">
        <v>151</v>
      </c>
      <c r="E818" t="s">
        <v>22</v>
      </c>
      <c r="F818">
        <v>33</v>
      </c>
      <c r="G818" t="s">
        <v>81</v>
      </c>
      <c r="H818" t="s">
        <v>82</v>
      </c>
      <c r="I818" t="s">
        <v>43</v>
      </c>
      <c r="J818" t="s">
        <v>197</v>
      </c>
      <c r="K818">
        <v>2</v>
      </c>
      <c r="L818">
        <v>1799</v>
      </c>
      <c r="M818" s="3">
        <v>0.15</v>
      </c>
      <c r="N818">
        <v>3058.3</v>
      </c>
      <c r="O818">
        <v>2100</v>
      </c>
      <c r="P818">
        <v>958.3</v>
      </c>
      <c r="Q818" t="s">
        <v>69</v>
      </c>
      <c r="R818" t="s">
        <v>28</v>
      </c>
      <c r="S818">
        <v>4</v>
      </c>
    </row>
    <row r="819" spans="1:19">
      <c r="A819" t="s">
        <v>1163</v>
      </c>
      <c r="B819" s="2">
        <v>45759</v>
      </c>
      <c r="C819" t="s">
        <v>97</v>
      </c>
      <c r="D819" t="s">
        <v>98</v>
      </c>
      <c r="E819" t="s">
        <v>22</v>
      </c>
      <c r="F819">
        <v>23</v>
      </c>
      <c r="G819" t="s">
        <v>48</v>
      </c>
      <c r="H819" t="s">
        <v>42</v>
      </c>
      <c r="I819" t="s">
        <v>75</v>
      </c>
      <c r="J819" t="s">
        <v>76</v>
      </c>
      <c r="K819">
        <v>2</v>
      </c>
      <c r="L819">
        <v>399</v>
      </c>
      <c r="M819" s="3">
        <v>0</v>
      </c>
      <c r="N819">
        <v>798</v>
      </c>
      <c r="O819">
        <v>440</v>
      </c>
      <c r="P819">
        <v>358</v>
      </c>
      <c r="Q819" t="s">
        <v>69</v>
      </c>
      <c r="R819" t="s">
        <v>137</v>
      </c>
      <c r="S819">
        <v>4</v>
      </c>
    </row>
    <row r="820" spans="1:19">
      <c r="A820" t="s">
        <v>1164</v>
      </c>
      <c r="B820" s="2">
        <v>45992</v>
      </c>
      <c r="C820" t="s">
        <v>390</v>
      </c>
      <c r="D820" t="s">
        <v>391</v>
      </c>
      <c r="E820" t="s">
        <v>32</v>
      </c>
      <c r="F820">
        <v>27</v>
      </c>
      <c r="G820" t="s">
        <v>55</v>
      </c>
      <c r="H820" t="s">
        <v>34</v>
      </c>
      <c r="I820" t="s">
        <v>43</v>
      </c>
      <c r="J820" t="s">
        <v>95</v>
      </c>
      <c r="K820">
        <v>4</v>
      </c>
      <c r="L820">
        <v>2499</v>
      </c>
      <c r="M820" s="3">
        <v>0.2</v>
      </c>
      <c r="N820">
        <v>7996.8</v>
      </c>
      <c r="O820">
        <v>6000</v>
      </c>
      <c r="P820">
        <v>1996.8</v>
      </c>
      <c r="Q820" t="s">
        <v>27</v>
      </c>
      <c r="R820" t="s">
        <v>28</v>
      </c>
      <c r="S820">
        <v>5</v>
      </c>
    </row>
    <row r="821" spans="1:19">
      <c r="A821" t="s">
        <v>1165</v>
      </c>
      <c r="B821" s="2">
        <v>45864</v>
      </c>
      <c r="C821" t="s">
        <v>579</v>
      </c>
      <c r="D821" t="s">
        <v>145</v>
      </c>
      <c r="E821" t="s">
        <v>32</v>
      </c>
      <c r="F821">
        <v>22</v>
      </c>
      <c r="G821" t="s">
        <v>141</v>
      </c>
      <c r="H821" t="s">
        <v>142</v>
      </c>
      <c r="I821" t="s">
        <v>25</v>
      </c>
      <c r="J821" t="s">
        <v>26</v>
      </c>
      <c r="K821">
        <v>4</v>
      </c>
      <c r="L821">
        <v>2499</v>
      </c>
      <c r="M821" s="3">
        <v>0.15</v>
      </c>
      <c r="N821">
        <v>8496.6</v>
      </c>
      <c r="O821">
        <v>6400</v>
      </c>
      <c r="P821">
        <v>2096.6</v>
      </c>
      <c r="Q821" t="s">
        <v>37</v>
      </c>
      <c r="R821" t="s">
        <v>28</v>
      </c>
      <c r="S821">
        <v>4</v>
      </c>
    </row>
    <row r="822" spans="1:19">
      <c r="A822" t="s">
        <v>1166</v>
      </c>
      <c r="B822" s="2">
        <v>46217</v>
      </c>
      <c r="C822" t="s">
        <v>326</v>
      </c>
      <c r="D822" t="s">
        <v>327</v>
      </c>
      <c r="E822" t="s">
        <v>22</v>
      </c>
      <c r="F822">
        <v>33</v>
      </c>
      <c r="G822" t="s">
        <v>141</v>
      </c>
      <c r="H822" t="s">
        <v>142</v>
      </c>
      <c r="I822" t="s">
        <v>43</v>
      </c>
      <c r="J822" t="s">
        <v>197</v>
      </c>
      <c r="K822">
        <v>3</v>
      </c>
      <c r="L822">
        <v>1799</v>
      </c>
      <c r="M822" s="3">
        <v>0.2</v>
      </c>
      <c r="N822">
        <v>4317.6000000000004</v>
      </c>
      <c r="O822">
        <v>3150</v>
      </c>
      <c r="P822">
        <v>1167.5999999999999</v>
      </c>
      <c r="Q822" t="s">
        <v>69</v>
      </c>
      <c r="R822" t="s">
        <v>51</v>
      </c>
      <c r="S822">
        <v>1</v>
      </c>
    </row>
    <row r="823" spans="1:19">
      <c r="A823" t="s">
        <v>1167</v>
      </c>
      <c r="B823" s="2">
        <v>45980</v>
      </c>
      <c r="C823" t="s">
        <v>267</v>
      </c>
      <c r="D823" t="s">
        <v>268</v>
      </c>
      <c r="E823" t="s">
        <v>22</v>
      </c>
      <c r="F823">
        <v>35</v>
      </c>
      <c r="G823" t="s">
        <v>141</v>
      </c>
      <c r="H823" t="s">
        <v>142</v>
      </c>
      <c r="I823" t="s">
        <v>25</v>
      </c>
      <c r="J823" t="s">
        <v>56</v>
      </c>
      <c r="K823">
        <v>4</v>
      </c>
      <c r="L823">
        <v>899</v>
      </c>
      <c r="M823" s="3">
        <v>0.15</v>
      </c>
      <c r="N823">
        <v>3056.6</v>
      </c>
      <c r="O823">
        <v>2200</v>
      </c>
      <c r="P823">
        <v>856.6</v>
      </c>
      <c r="Q823" t="s">
        <v>66</v>
      </c>
      <c r="R823" t="s">
        <v>28</v>
      </c>
      <c r="S823">
        <v>1</v>
      </c>
    </row>
    <row r="824" spans="1:19">
      <c r="A824" t="s">
        <v>1168</v>
      </c>
      <c r="B824" s="2">
        <v>46161</v>
      </c>
      <c r="C824" t="s">
        <v>236</v>
      </c>
      <c r="D824" t="s">
        <v>237</v>
      </c>
      <c r="E824" t="s">
        <v>32</v>
      </c>
      <c r="F824">
        <v>34</v>
      </c>
      <c r="G824" t="s">
        <v>180</v>
      </c>
      <c r="H824" t="s">
        <v>181</v>
      </c>
      <c r="I824" t="s">
        <v>43</v>
      </c>
      <c r="J824" t="s">
        <v>95</v>
      </c>
      <c r="K824">
        <v>3</v>
      </c>
      <c r="L824">
        <v>2499</v>
      </c>
      <c r="M824" s="3">
        <v>0.05</v>
      </c>
      <c r="N824">
        <v>7122.15</v>
      </c>
      <c r="O824">
        <v>4500</v>
      </c>
      <c r="P824">
        <v>2622.15</v>
      </c>
      <c r="Q824" t="s">
        <v>66</v>
      </c>
      <c r="R824" t="s">
        <v>28</v>
      </c>
      <c r="S824">
        <v>4</v>
      </c>
    </row>
    <row r="825" spans="1:19">
      <c r="A825" t="s">
        <v>1169</v>
      </c>
      <c r="B825" s="2">
        <v>46210</v>
      </c>
      <c r="C825" t="s">
        <v>178</v>
      </c>
      <c r="D825" t="s">
        <v>179</v>
      </c>
      <c r="E825" t="s">
        <v>32</v>
      </c>
      <c r="F825">
        <v>29</v>
      </c>
      <c r="G825" t="s">
        <v>180</v>
      </c>
      <c r="H825" t="s">
        <v>181</v>
      </c>
      <c r="I825" t="s">
        <v>25</v>
      </c>
      <c r="J825" t="s">
        <v>56</v>
      </c>
      <c r="K825">
        <v>4</v>
      </c>
      <c r="L825">
        <v>899</v>
      </c>
      <c r="M825" s="3">
        <v>0.2</v>
      </c>
      <c r="N825">
        <v>2876.8</v>
      </c>
      <c r="O825">
        <v>2200</v>
      </c>
      <c r="P825">
        <v>676.8</v>
      </c>
      <c r="Q825" t="s">
        <v>50</v>
      </c>
      <c r="R825" t="s">
        <v>28</v>
      </c>
      <c r="S825">
        <v>5</v>
      </c>
    </row>
    <row r="826" spans="1:19">
      <c r="A826" t="s">
        <v>1170</v>
      </c>
      <c r="B826" s="2">
        <v>45927</v>
      </c>
      <c r="C826" t="s">
        <v>746</v>
      </c>
      <c r="D826" t="s">
        <v>747</v>
      </c>
      <c r="E826" t="s">
        <v>22</v>
      </c>
      <c r="F826">
        <v>20</v>
      </c>
      <c r="G826" t="s">
        <v>48</v>
      </c>
      <c r="H826" t="s">
        <v>42</v>
      </c>
      <c r="I826" t="s">
        <v>35</v>
      </c>
      <c r="J826" t="s">
        <v>108</v>
      </c>
      <c r="K826">
        <v>1</v>
      </c>
      <c r="L826">
        <v>699</v>
      </c>
      <c r="M826" s="3">
        <v>0.15</v>
      </c>
      <c r="N826">
        <v>594.15</v>
      </c>
      <c r="O826">
        <v>380</v>
      </c>
      <c r="P826">
        <v>214.15</v>
      </c>
      <c r="Q826" t="s">
        <v>66</v>
      </c>
      <c r="R826" t="s">
        <v>28</v>
      </c>
      <c r="S826">
        <v>4</v>
      </c>
    </row>
    <row r="827" spans="1:19">
      <c r="A827" t="s">
        <v>1171</v>
      </c>
      <c r="B827" s="2">
        <v>45686</v>
      </c>
      <c r="C827" t="s">
        <v>986</v>
      </c>
      <c r="D827" t="s">
        <v>987</v>
      </c>
      <c r="E827" t="s">
        <v>22</v>
      </c>
      <c r="F827">
        <v>41</v>
      </c>
      <c r="G827" t="s">
        <v>105</v>
      </c>
      <c r="H827" t="s">
        <v>105</v>
      </c>
      <c r="I827" t="s">
        <v>43</v>
      </c>
      <c r="J827" t="s">
        <v>44</v>
      </c>
      <c r="K827">
        <v>3</v>
      </c>
      <c r="L827">
        <v>1599</v>
      </c>
      <c r="M827" s="3">
        <v>0</v>
      </c>
      <c r="N827">
        <v>4797</v>
      </c>
      <c r="O827">
        <v>2850</v>
      </c>
      <c r="P827">
        <v>1947</v>
      </c>
      <c r="Q827" t="s">
        <v>50</v>
      </c>
      <c r="R827" t="s">
        <v>28</v>
      </c>
      <c r="S827">
        <v>3</v>
      </c>
    </row>
    <row r="828" spans="1:19">
      <c r="A828" t="s">
        <v>1172</v>
      </c>
      <c r="B828" s="2">
        <v>46047</v>
      </c>
      <c r="C828" t="s">
        <v>313</v>
      </c>
      <c r="D828" t="s">
        <v>72</v>
      </c>
      <c r="E828" t="s">
        <v>22</v>
      </c>
      <c r="F828">
        <v>45</v>
      </c>
      <c r="G828" t="s">
        <v>41</v>
      </c>
      <c r="H828" t="s">
        <v>42</v>
      </c>
      <c r="I828" t="s">
        <v>117</v>
      </c>
      <c r="J828" t="s">
        <v>152</v>
      </c>
      <c r="K828">
        <v>1</v>
      </c>
      <c r="L828">
        <v>899</v>
      </c>
      <c r="M828" s="3">
        <v>0.1</v>
      </c>
      <c r="N828">
        <v>809.1</v>
      </c>
      <c r="O828">
        <v>500</v>
      </c>
      <c r="P828">
        <v>309.10000000000002</v>
      </c>
      <c r="Q828" t="s">
        <v>69</v>
      </c>
      <c r="R828" t="s">
        <v>28</v>
      </c>
      <c r="S828">
        <v>3</v>
      </c>
    </row>
    <row r="829" spans="1:19">
      <c r="A829" t="s">
        <v>1173</v>
      </c>
      <c r="B829" s="2">
        <v>45911</v>
      </c>
      <c r="C829" t="s">
        <v>270</v>
      </c>
      <c r="D829" t="s">
        <v>271</v>
      </c>
      <c r="E829" t="s">
        <v>22</v>
      </c>
      <c r="F829">
        <v>51</v>
      </c>
      <c r="G829" t="s">
        <v>48</v>
      </c>
      <c r="H829" t="s">
        <v>42</v>
      </c>
      <c r="I829" t="s">
        <v>163</v>
      </c>
      <c r="J829" t="s">
        <v>214</v>
      </c>
      <c r="K829">
        <v>1</v>
      </c>
      <c r="L829">
        <v>1499</v>
      </c>
      <c r="M829" s="3">
        <v>0.05</v>
      </c>
      <c r="N829">
        <v>1424.05</v>
      </c>
      <c r="O829">
        <v>900</v>
      </c>
      <c r="P829">
        <v>524.04999999999995</v>
      </c>
      <c r="Q829" t="s">
        <v>27</v>
      </c>
      <c r="R829" t="s">
        <v>28</v>
      </c>
      <c r="S829">
        <v>5</v>
      </c>
    </row>
    <row r="830" spans="1:19">
      <c r="A830" t="s">
        <v>1174</v>
      </c>
      <c r="B830" s="2">
        <v>45775</v>
      </c>
      <c r="C830" t="s">
        <v>801</v>
      </c>
      <c r="D830" t="s">
        <v>225</v>
      </c>
      <c r="E830" t="s">
        <v>32</v>
      </c>
      <c r="F830">
        <v>55</v>
      </c>
      <c r="G830" t="s">
        <v>41</v>
      </c>
      <c r="H830" t="s">
        <v>42</v>
      </c>
      <c r="I830" t="s">
        <v>117</v>
      </c>
      <c r="J830" t="s">
        <v>238</v>
      </c>
      <c r="K830">
        <v>1</v>
      </c>
      <c r="L830">
        <v>2499</v>
      </c>
      <c r="M830" s="3">
        <v>0.1</v>
      </c>
      <c r="N830">
        <v>2249.1</v>
      </c>
      <c r="O830">
        <v>1500</v>
      </c>
      <c r="P830">
        <v>749.1</v>
      </c>
      <c r="Q830" t="s">
        <v>37</v>
      </c>
      <c r="R830" t="s">
        <v>28</v>
      </c>
      <c r="S830">
        <v>5</v>
      </c>
    </row>
    <row r="831" spans="1:19">
      <c r="A831" t="s">
        <v>1175</v>
      </c>
      <c r="B831" s="2">
        <v>46239</v>
      </c>
      <c r="C831" t="s">
        <v>532</v>
      </c>
      <c r="D831" t="s">
        <v>533</v>
      </c>
      <c r="E831" t="s">
        <v>22</v>
      </c>
      <c r="F831">
        <v>32</v>
      </c>
      <c r="G831" t="s">
        <v>180</v>
      </c>
      <c r="H831" t="s">
        <v>181</v>
      </c>
      <c r="I831" t="s">
        <v>25</v>
      </c>
      <c r="J831" t="s">
        <v>68</v>
      </c>
      <c r="K831">
        <v>4</v>
      </c>
      <c r="L831">
        <v>2999</v>
      </c>
      <c r="M831" s="3">
        <v>0.15</v>
      </c>
      <c r="N831">
        <v>10196.6</v>
      </c>
      <c r="O831">
        <v>7600</v>
      </c>
      <c r="P831">
        <v>2596.6</v>
      </c>
      <c r="Q831" t="s">
        <v>50</v>
      </c>
      <c r="R831" t="s">
        <v>77</v>
      </c>
      <c r="S831">
        <v>3</v>
      </c>
    </row>
    <row r="832" spans="1:19">
      <c r="A832" t="s">
        <v>1176</v>
      </c>
      <c r="B832" s="2">
        <v>45680</v>
      </c>
      <c r="C832" t="s">
        <v>113</v>
      </c>
      <c r="D832" t="s">
        <v>114</v>
      </c>
      <c r="E832" t="s">
        <v>32</v>
      </c>
      <c r="F832">
        <v>18</v>
      </c>
      <c r="G832" t="s">
        <v>115</v>
      </c>
      <c r="H832" t="s">
        <v>116</v>
      </c>
      <c r="I832" t="s">
        <v>117</v>
      </c>
      <c r="J832" t="s">
        <v>238</v>
      </c>
      <c r="K832">
        <v>4</v>
      </c>
      <c r="L832">
        <v>2499</v>
      </c>
      <c r="M832" s="3">
        <v>0.2</v>
      </c>
      <c r="N832">
        <v>7996.8</v>
      </c>
      <c r="O832">
        <v>6000</v>
      </c>
      <c r="P832">
        <v>1996.8</v>
      </c>
      <c r="Q832" t="s">
        <v>37</v>
      </c>
      <c r="R832" t="s">
        <v>28</v>
      </c>
      <c r="S832">
        <v>4</v>
      </c>
    </row>
    <row r="833" spans="1:19">
      <c r="A833" t="s">
        <v>1177</v>
      </c>
      <c r="B833" s="2">
        <v>45760</v>
      </c>
      <c r="C833" t="s">
        <v>110</v>
      </c>
      <c r="D833" t="s">
        <v>111</v>
      </c>
      <c r="E833" t="s">
        <v>22</v>
      </c>
      <c r="F833">
        <v>47</v>
      </c>
      <c r="G833" t="s">
        <v>48</v>
      </c>
      <c r="H833" t="s">
        <v>42</v>
      </c>
      <c r="I833" t="s">
        <v>75</v>
      </c>
      <c r="J833" t="s">
        <v>86</v>
      </c>
      <c r="K833">
        <v>1</v>
      </c>
      <c r="L833">
        <v>499</v>
      </c>
      <c r="M833" s="3">
        <v>0.15</v>
      </c>
      <c r="N833">
        <v>424.15</v>
      </c>
      <c r="O833">
        <v>300</v>
      </c>
      <c r="P833">
        <v>124.15</v>
      </c>
      <c r="Q833" t="s">
        <v>27</v>
      </c>
      <c r="R833" t="s">
        <v>28</v>
      </c>
      <c r="S833">
        <v>5</v>
      </c>
    </row>
    <row r="834" spans="1:19">
      <c r="A834" t="s">
        <v>1178</v>
      </c>
      <c r="B834" s="2">
        <v>46104</v>
      </c>
      <c r="C834" t="s">
        <v>175</v>
      </c>
      <c r="D834" t="s">
        <v>176</v>
      </c>
      <c r="E834" t="s">
        <v>32</v>
      </c>
      <c r="F834">
        <v>29</v>
      </c>
      <c r="G834" t="s">
        <v>60</v>
      </c>
      <c r="H834" t="s">
        <v>61</v>
      </c>
      <c r="I834" t="s">
        <v>43</v>
      </c>
      <c r="J834" t="s">
        <v>95</v>
      </c>
      <c r="K834">
        <v>3</v>
      </c>
      <c r="L834">
        <v>2499</v>
      </c>
      <c r="M834" s="3">
        <v>0.1</v>
      </c>
      <c r="N834">
        <v>6747.3</v>
      </c>
      <c r="O834">
        <v>4500</v>
      </c>
      <c r="P834">
        <v>2247.3000000000002</v>
      </c>
      <c r="Q834" t="s">
        <v>27</v>
      </c>
      <c r="R834" t="s">
        <v>28</v>
      </c>
      <c r="S834">
        <v>1</v>
      </c>
    </row>
    <row r="835" spans="1:19">
      <c r="A835" t="s">
        <v>1179</v>
      </c>
      <c r="B835" s="2">
        <v>45706</v>
      </c>
      <c r="C835" t="s">
        <v>467</v>
      </c>
      <c r="D835" t="s">
        <v>322</v>
      </c>
      <c r="E835" t="s">
        <v>32</v>
      </c>
      <c r="F835">
        <v>41</v>
      </c>
      <c r="G835" t="s">
        <v>55</v>
      </c>
      <c r="H835" t="s">
        <v>34</v>
      </c>
      <c r="I835" t="s">
        <v>43</v>
      </c>
      <c r="J835" t="s">
        <v>49</v>
      </c>
      <c r="K835">
        <v>3</v>
      </c>
      <c r="L835">
        <v>799</v>
      </c>
      <c r="M835" s="3">
        <v>0.1</v>
      </c>
      <c r="N835">
        <v>2157.3000000000002</v>
      </c>
      <c r="O835">
        <v>1350</v>
      </c>
      <c r="P835">
        <v>807.3</v>
      </c>
      <c r="Q835" t="s">
        <v>37</v>
      </c>
      <c r="R835" t="s">
        <v>51</v>
      </c>
      <c r="S835">
        <v>4</v>
      </c>
    </row>
    <row r="836" spans="1:19">
      <c r="A836" t="s">
        <v>1180</v>
      </c>
      <c r="B836" s="2">
        <v>45755</v>
      </c>
      <c r="C836" t="s">
        <v>479</v>
      </c>
      <c r="D836" t="s">
        <v>480</v>
      </c>
      <c r="E836" t="s">
        <v>22</v>
      </c>
      <c r="F836">
        <v>29</v>
      </c>
      <c r="G836" t="s">
        <v>146</v>
      </c>
      <c r="H836" t="s">
        <v>61</v>
      </c>
      <c r="I836" t="s">
        <v>75</v>
      </c>
      <c r="J836" t="s">
        <v>106</v>
      </c>
      <c r="K836">
        <v>1</v>
      </c>
      <c r="L836">
        <v>899</v>
      </c>
      <c r="M836" s="3">
        <v>0.2</v>
      </c>
      <c r="N836">
        <v>719.2</v>
      </c>
      <c r="O836">
        <v>600</v>
      </c>
      <c r="P836">
        <v>119.2</v>
      </c>
      <c r="Q836" t="s">
        <v>50</v>
      </c>
      <c r="R836" t="s">
        <v>28</v>
      </c>
      <c r="S836">
        <v>1</v>
      </c>
    </row>
    <row r="837" spans="1:19">
      <c r="A837" t="s">
        <v>1181</v>
      </c>
      <c r="B837" s="2">
        <v>45872</v>
      </c>
      <c r="C837" t="s">
        <v>292</v>
      </c>
      <c r="D837" t="s">
        <v>293</v>
      </c>
      <c r="E837" t="s">
        <v>32</v>
      </c>
      <c r="F837">
        <v>29</v>
      </c>
      <c r="G837" t="s">
        <v>180</v>
      </c>
      <c r="H837" t="s">
        <v>181</v>
      </c>
      <c r="I837" t="s">
        <v>35</v>
      </c>
      <c r="J837" t="s">
        <v>108</v>
      </c>
      <c r="K837">
        <v>4</v>
      </c>
      <c r="L837">
        <v>699</v>
      </c>
      <c r="M837" s="3">
        <v>0.15</v>
      </c>
      <c r="N837">
        <v>2376.6</v>
      </c>
      <c r="O837">
        <v>1520</v>
      </c>
      <c r="P837">
        <v>856.6</v>
      </c>
      <c r="Q837" t="s">
        <v>37</v>
      </c>
      <c r="R837" t="s">
        <v>137</v>
      </c>
      <c r="S837">
        <v>3</v>
      </c>
    </row>
    <row r="838" spans="1:19">
      <c r="A838" t="s">
        <v>1182</v>
      </c>
      <c r="B838" s="2">
        <v>45978</v>
      </c>
      <c r="C838" t="s">
        <v>326</v>
      </c>
      <c r="D838" t="s">
        <v>327</v>
      </c>
      <c r="E838" t="s">
        <v>22</v>
      </c>
      <c r="F838">
        <v>33</v>
      </c>
      <c r="G838" t="s">
        <v>141</v>
      </c>
      <c r="H838" t="s">
        <v>142</v>
      </c>
      <c r="I838" t="s">
        <v>43</v>
      </c>
      <c r="J838" t="s">
        <v>44</v>
      </c>
      <c r="K838">
        <v>4</v>
      </c>
      <c r="L838">
        <v>1599</v>
      </c>
      <c r="M838" s="3">
        <v>0.2</v>
      </c>
      <c r="N838">
        <v>5116.8</v>
      </c>
      <c r="O838">
        <v>3800</v>
      </c>
      <c r="P838">
        <v>1316.8</v>
      </c>
      <c r="Q838" t="s">
        <v>27</v>
      </c>
      <c r="R838" t="s">
        <v>28</v>
      </c>
      <c r="S838">
        <v>3</v>
      </c>
    </row>
    <row r="839" spans="1:19">
      <c r="A839" t="s">
        <v>1183</v>
      </c>
      <c r="B839" s="2">
        <v>46186</v>
      </c>
      <c r="C839" t="s">
        <v>365</v>
      </c>
      <c r="D839" t="s">
        <v>366</v>
      </c>
      <c r="E839" t="s">
        <v>22</v>
      </c>
      <c r="F839">
        <v>54</v>
      </c>
      <c r="G839" t="s">
        <v>93</v>
      </c>
      <c r="H839" t="s">
        <v>94</v>
      </c>
      <c r="I839" t="s">
        <v>35</v>
      </c>
      <c r="J839" t="s">
        <v>136</v>
      </c>
      <c r="K839">
        <v>2</v>
      </c>
      <c r="L839">
        <v>799</v>
      </c>
      <c r="M839" s="3">
        <v>0</v>
      </c>
      <c r="N839">
        <v>1598</v>
      </c>
      <c r="O839">
        <v>900</v>
      </c>
      <c r="P839">
        <v>698</v>
      </c>
      <c r="Q839" t="s">
        <v>27</v>
      </c>
      <c r="R839" t="s">
        <v>28</v>
      </c>
      <c r="S839">
        <v>2</v>
      </c>
    </row>
    <row r="840" spans="1:19">
      <c r="A840" t="s">
        <v>1184</v>
      </c>
      <c r="B840" s="2">
        <v>45719</v>
      </c>
      <c r="C840" t="s">
        <v>1185</v>
      </c>
      <c r="D840" t="s">
        <v>437</v>
      </c>
      <c r="E840" t="s">
        <v>22</v>
      </c>
      <c r="F840">
        <v>49</v>
      </c>
      <c r="G840" t="s">
        <v>23</v>
      </c>
      <c r="H840" t="s">
        <v>24</v>
      </c>
      <c r="I840" t="s">
        <v>43</v>
      </c>
      <c r="J840" t="s">
        <v>197</v>
      </c>
      <c r="K840">
        <v>4</v>
      </c>
      <c r="L840">
        <v>1799</v>
      </c>
      <c r="M840" s="3">
        <v>0.2</v>
      </c>
      <c r="N840">
        <v>5756.8</v>
      </c>
      <c r="O840">
        <v>4200</v>
      </c>
      <c r="P840">
        <v>1556.8</v>
      </c>
      <c r="Q840" t="s">
        <v>50</v>
      </c>
      <c r="R840" t="s">
        <v>28</v>
      </c>
      <c r="S840">
        <v>4</v>
      </c>
    </row>
    <row r="841" spans="1:19">
      <c r="A841" t="s">
        <v>1186</v>
      </c>
      <c r="B841" s="2">
        <v>46103</v>
      </c>
      <c r="C841" t="s">
        <v>354</v>
      </c>
      <c r="D841" t="s">
        <v>339</v>
      </c>
      <c r="E841" t="s">
        <v>32</v>
      </c>
      <c r="F841">
        <v>25</v>
      </c>
      <c r="G841" t="s">
        <v>115</v>
      </c>
      <c r="H841" t="s">
        <v>116</v>
      </c>
      <c r="I841" t="s">
        <v>43</v>
      </c>
      <c r="J841" t="s">
        <v>281</v>
      </c>
      <c r="K841">
        <v>2</v>
      </c>
      <c r="L841">
        <v>2999</v>
      </c>
      <c r="M841" s="3">
        <v>0.1</v>
      </c>
      <c r="N841">
        <v>5398.2</v>
      </c>
      <c r="O841">
        <v>3600</v>
      </c>
      <c r="P841">
        <v>1798.2</v>
      </c>
      <c r="Q841" t="s">
        <v>66</v>
      </c>
      <c r="R841" t="s">
        <v>28</v>
      </c>
      <c r="S841">
        <v>1</v>
      </c>
    </row>
    <row r="842" spans="1:19">
      <c r="A842" t="s">
        <v>1187</v>
      </c>
      <c r="B842" s="2">
        <v>45822</v>
      </c>
      <c r="C842" t="s">
        <v>413</v>
      </c>
      <c r="D842" t="s">
        <v>414</v>
      </c>
      <c r="E842" t="s">
        <v>22</v>
      </c>
      <c r="F842">
        <v>42</v>
      </c>
      <c r="G842" t="s">
        <v>33</v>
      </c>
      <c r="H842" t="s">
        <v>34</v>
      </c>
      <c r="I842" t="s">
        <v>163</v>
      </c>
      <c r="J842" t="s">
        <v>234</v>
      </c>
      <c r="K842">
        <v>3</v>
      </c>
      <c r="L842">
        <v>999</v>
      </c>
      <c r="M842" s="3">
        <v>0.1</v>
      </c>
      <c r="N842">
        <v>2697.3</v>
      </c>
      <c r="O842">
        <v>1800</v>
      </c>
      <c r="P842">
        <v>897.3</v>
      </c>
      <c r="Q842" t="s">
        <v>37</v>
      </c>
      <c r="R842" t="s">
        <v>28</v>
      </c>
      <c r="S842">
        <v>2</v>
      </c>
    </row>
    <row r="843" spans="1:19">
      <c r="A843" t="s">
        <v>1188</v>
      </c>
      <c r="B843" s="2">
        <v>45854</v>
      </c>
      <c r="C843" t="s">
        <v>128</v>
      </c>
      <c r="D843" t="s">
        <v>129</v>
      </c>
      <c r="E843" t="s">
        <v>22</v>
      </c>
      <c r="F843">
        <v>42</v>
      </c>
      <c r="G843" t="s">
        <v>105</v>
      </c>
      <c r="H843" t="s">
        <v>105</v>
      </c>
      <c r="I843" t="s">
        <v>43</v>
      </c>
      <c r="J843" t="s">
        <v>281</v>
      </c>
      <c r="K843">
        <v>1</v>
      </c>
      <c r="L843">
        <v>2999</v>
      </c>
      <c r="M843" s="3">
        <v>0.05</v>
      </c>
      <c r="N843">
        <v>2849.05</v>
      </c>
      <c r="O843">
        <v>1800</v>
      </c>
      <c r="P843">
        <v>1049.05</v>
      </c>
      <c r="Q843" t="s">
        <v>69</v>
      </c>
      <c r="R843" t="s">
        <v>28</v>
      </c>
      <c r="S843">
        <v>3</v>
      </c>
    </row>
    <row r="844" spans="1:19">
      <c r="A844" t="s">
        <v>1189</v>
      </c>
      <c r="B844" s="2">
        <v>45695</v>
      </c>
      <c r="C844" t="s">
        <v>144</v>
      </c>
      <c r="D844" t="s">
        <v>145</v>
      </c>
      <c r="E844" t="s">
        <v>32</v>
      </c>
      <c r="F844">
        <v>37</v>
      </c>
      <c r="G844" t="s">
        <v>146</v>
      </c>
      <c r="H844" t="s">
        <v>61</v>
      </c>
      <c r="I844" t="s">
        <v>35</v>
      </c>
      <c r="J844" t="s">
        <v>36</v>
      </c>
      <c r="K844">
        <v>4</v>
      </c>
      <c r="L844">
        <v>599</v>
      </c>
      <c r="M844" s="3">
        <v>0.15</v>
      </c>
      <c r="N844">
        <v>2036.6</v>
      </c>
      <c r="O844">
        <v>1280</v>
      </c>
      <c r="P844">
        <v>756.6</v>
      </c>
      <c r="Q844" t="s">
        <v>27</v>
      </c>
      <c r="R844" t="s">
        <v>28</v>
      </c>
      <c r="S844">
        <v>2</v>
      </c>
    </row>
    <row r="845" spans="1:19">
      <c r="A845" t="s">
        <v>1190</v>
      </c>
      <c r="B845" s="2">
        <v>45838</v>
      </c>
      <c r="C845" t="s">
        <v>186</v>
      </c>
      <c r="D845" t="s">
        <v>187</v>
      </c>
      <c r="E845" t="s">
        <v>22</v>
      </c>
      <c r="F845">
        <v>42</v>
      </c>
      <c r="G845" t="s">
        <v>60</v>
      </c>
      <c r="H845" t="s">
        <v>61</v>
      </c>
      <c r="I845" t="s">
        <v>43</v>
      </c>
      <c r="J845" t="s">
        <v>197</v>
      </c>
      <c r="K845">
        <v>3</v>
      </c>
      <c r="L845">
        <v>1799</v>
      </c>
      <c r="M845" s="3">
        <v>0.2</v>
      </c>
      <c r="N845">
        <v>4317.6000000000004</v>
      </c>
      <c r="O845">
        <v>3150</v>
      </c>
      <c r="P845">
        <v>1167.5999999999999</v>
      </c>
      <c r="Q845" t="s">
        <v>69</v>
      </c>
      <c r="R845" t="s">
        <v>51</v>
      </c>
      <c r="S845">
        <v>4</v>
      </c>
    </row>
    <row r="846" spans="1:19">
      <c r="A846" t="s">
        <v>1191</v>
      </c>
      <c r="B846" s="2">
        <v>45963</v>
      </c>
      <c r="C846" t="s">
        <v>113</v>
      </c>
      <c r="D846" t="s">
        <v>114</v>
      </c>
      <c r="E846" t="s">
        <v>32</v>
      </c>
      <c r="F846">
        <v>18</v>
      </c>
      <c r="G846" t="s">
        <v>115</v>
      </c>
      <c r="H846" t="s">
        <v>116</v>
      </c>
      <c r="I846" t="s">
        <v>25</v>
      </c>
      <c r="J846" t="s">
        <v>68</v>
      </c>
      <c r="K846">
        <v>1</v>
      </c>
      <c r="L846">
        <v>2999</v>
      </c>
      <c r="M846" s="3">
        <v>0.1</v>
      </c>
      <c r="N846">
        <v>2699.1</v>
      </c>
      <c r="O846">
        <v>1900</v>
      </c>
      <c r="P846">
        <v>799.1</v>
      </c>
      <c r="Q846" t="s">
        <v>69</v>
      </c>
      <c r="R846" t="s">
        <v>77</v>
      </c>
      <c r="S846">
        <v>4</v>
      </c>
    </row>
    <row r="847" spans="1:19">
      <c r="A847" t="s">
        <v>1192</v>
      </c>
      <c r="B847" s="2">
        <v>45801</v>
      </c>
      <c r="C847" t="s">
        <v>663</v>
      </c>
      <c r="D847" t="s">
        <v>382</v>
      </c>
      <c r="E847" t="s">
        <v>32</v>
      </c>
      <c r="F847">
        <v>53</v>
      </c>
      <c r="G847" t="s">
        <v>73</v>
      </c>
      <c r="H847" t="s">
        <v>74</v>
      </c>
      <c r="I847" t="s">
        <v>117</v>
      </c>
      <c r="J847" t="s">
        <v>118</v>
      </c>
      <c r="K847">
        <v>1</v>
      </c>
      <c r="L847">
        <v>999</v>
      </c>
      <c r="M847" s="3">
        <v>0.15</v>
      </c>
      <c r="N847">
        <v>849.15</v>
      </c>
      <c r="O847">
        <v>550</v>
      </c>
      <c r="P847">
        <v>299.14999999999998</v>
      </c>
      <c r="Q847" t="s">
        <v>27</v>
      </c>
      <c r="R847" t="s">
        <v>28</v>
      </c>
      <c r="S847">
        <v>5</v>
      </c>
    </row>
    <row r="848" spans="1:19">
      <c r="A848" t="s">
        <v>1193</v>
      </c>
      <c r="B848" s="2">
        <v>45750</v>
      </c>
      <c r="C848" t="s">
        <v>562</v>
      </c>
      <c r="D848" t="s">
        <v>563</v>
      </c>
      <c r="E848" t="s">
        <v>22</v>
      </c>
      <c r="F848">
        <v>27</v>
      </c>
      <c r="G848" t="s">
        <v>180</v>
      </c>
      <c r="H848" t="s">
        <v>181</v>
      </c>
      <c r="I848" t="s">
        <v>35</v>
      </c>
      <c r="J848" t="s">
        <v>108</v>
      </c>
      <c r="K848">
        <v>3</v>
      </c>
      <c r="L848">
        <v>699</v>
      </c>
      <c r="M848" s="3">
        <v>0.15</v>
      </c>
      <c r="N848">
        <v>1782.45</v>
      </c>
      <c r="O848">
        <v>1140</v>
      </c>
      <c r="P848">
        <v>642.45000000000005</v>
      </c>
      <c r="Q848" t="s">
        <v>27</v>
      </c>
      <c r="R848" t="s">
        <v>28</v>
      </c>
      <c r="S848">
        <v>3</v>
      </c>
    </row>
    <row r="849" spans="1:19">
      <c r="A849" t="s">
        <v>1194</v>
      </c>
      <c r="B849" s="2">
        <v>46091</v>
      </c>
      <c r="C849" t="s">
        <v>247</v>
      </c>
      <c r="D849" t="s">
        <v>248</v>
      </c>
      <c r="E849" t="s">
        <v>32</v>
      </c>
      <c r="F849">
        <v>35</v>
      </c>
      <c r="G849" t="s">
        <v>33</v>
      </c>
      <c r="H849" t="s">
        <v>34</v>
      </c>
      <c r="I849" t="s">
        <v>75</v>
      </c>
      <c r="J849" t="s">
        <v>86</v>
      </c>
      <c r="K849">
        <v>4</v>
      </c>
      <c r="L849">
        <v>499</v>
      </c>
      <c r="M849" s="3">
        <v>0.05</v>
      </c>
      <c r="N849">
        <v>1896.2</v>
      </c>
      <c r="O849">
        <v>1200</v>
      </c>
      <c r="P849">
        <v>696.2</v>
      </c>
      <c r="Q849" t="s">
        <v>27</v>
      </c>
      <c r="R849" t="s">
        <v>28</v>
      </c>
      <c r="S849">
        <v>2</v>
      </c>
    </row>
    <row r="850" spans="1:19">
      <c r="A850" t="s">
        <v>1195</v>
      </c>
      <c r="B850" s="2">
        <v>45918</v>
      </c>
      <c r="C850" t="s">
        <v>585</v>
      </c>
      <c r="D850" t="s">
        <v>586</v>
      </c>
      <c r="E850" t="s">
        <v>32</v>
      </c>
      <c r="F850">
        <v>31</v>
      </c>
      <c r="G850" t="s">
        <v>48</v>
      </c>
      <c r="H850" t="s">
        <v>42</v>
      </c>
      <c r="I850" t="s">
        <v>43</v>
      </c>
      <c r="J850" t="s">
        <v>197</v>
      </c>
      <c r="K850">
        <v>4</v>
      </c>
      <c r="L850">
        <v>1799</v>
      </c>
      <c r="M850" s="3">
        <v>0.15</v>
      </c>
      <c r="N850">
        <v>6116.6</v>
      </c>
      <c r="O850">
        <v>4200</v>
      </c>
      <c r="P850">
        <v>1916.6</v>
      </c>
      <c r="Q850" t="s">
        <v>50</v>
      </c>
      <c r="R850" t="s">
        <v>28</v>
      </c>
      <c r="S850">
        <v>5</v>
      </c>
    </row>
    <row r="851" spans="1:19">
      <c r="A851" t="s">
        <v>1196</v>
      </c>
      <c r="B851" s="2">
        <v>46216</v>
      </c>
      <c r="C851" t="s">
        <v>862</v>
      </c>
      <c r="D851" t="s">
        <v>863</v>
      </c>
      <c r="E851" t="s">
        <v>32</v>
      </c>
      <c r="F851">
        <v>53</v>
      </c>
      <c r="G851" t="s">
        <v>41</v>
      </c>
      <c r="H851" t="s">
        <v>42</v>
      </c>
      <c r="I851" t="s">
        <v>117</v>
      </c>
      <c r="J851" t="s">
        <v>238</v>
      </c>
      <c r="K851">
        <v>1</v>
      </c>
      <c r="L851">
        <v>2499</v>
      </c>
      <c r="M851" s="3">
        <v>0.1</v>
      </c>
      <c r="N851">
        <v>2249.1</v>
      </c>
      <c r="O851">
        <v>1500</v>
      </c>
      <c r="P851">
        <v>749.1</v>
      </c>
      <c r="Q851" t="s">
        <v>66</v>
      </c>
      <c r="R851" t="s">
        <v>28</v>
      </c>
      <c r="S851">
        <v>2</v>
      </c>
    </row>
    <row r="852" spans="1:19">
      <c r="A852" t="s">
        <v>1197</v>
      </c>
      <c r="B852" s="2">
        <v>46034</v>
      </c>
      <c r="C852" t="s">
        <v>120</v>
      </c>
      <c r="D852" t="s">
        <v>121</v>
      </c>
      <c r="E852" t="s">
        <v>32</v>
      </c>
      <c r="F852">
        <v>35</v>
      </c>
      <c r="G852" t="s">
        <v>93</v>
      </c>
      <c r="H852" t="s">
        <v>94</v>
      </c>
      <c r="I852" t="s">
        <v>25</v>
      </c>
      <c r="J852" t="s">
        <v>62</v>
      </c>
      <c r="K852">
        <v>3</v>
      </c>
      <c r="L852">
        <v>1299</v>
      </c>
      <c r="M852" s="3">
        <v>0.15</v>
      </c>
      <c r="N852">
        <v>3312.45</v>
      </c>
      <c r="O852">
        <v>2400</v>
      </c>
      <c r="P852">
        <v>912.45</v>
      </c>
      <c r="Q852" t="s">
        <v>37</v>
      </c>
      <c r="R852" t="s">
        <v>28</v>
      </c>
      <c r="S852">
        <v>5</v>
      </c>
    </row>
    <row r="853" spans="1:19">
      <c r="A853" t="s">
        <v>1198</v>
      </c>
      <c r="B853" s="2">
        <v>45917</v>
      </c>
      <c r="C853" t="s">
        <v>236</v>
      </c>
      <c r="D853" t="s">
        <v>237</v>
      </c>
      <c r="E853" t="s">
        <v>32</v>
      </c>
      <c r="F853">
        <v>34</v>
      </c>
      <c r="G853" t="s">
        <v>180</v>
      </c>
      <c r="H853" t="s">
        <v>181</v>
      </c>
      <c r="I853" t="s">
        <v>117</v>
      </c>
      <c r="J853" t="s">
        <v>152</v>
      </c>
      <c r="K853">
        <v>1</v>
      </c>
      <c r="L853">
        <v>899</v>
      </c>
      <c r="M853" s="3">
        <v>0.05</v>
      </c>
      <c r="N853">
        <v>854.05</v>
      </c>
      <c r="O853">
        <v>500</v>
      </c>
      <c r="P853">
        <v>354.05</v>
      </c>
      <c r="Q853" t="s">
        <v>50</v>
      </c>
      <c r="R853" t="s">
        <v>28</v>
      </c>
      <c r="S853">
        <v>3</v>
      </c>
    </row>
    <row r="854" spans="1:19">
      <c r="A854" t="s">
        <v>1199</v>
      </c>
      <c r="B854" s="2">
        <v>46055</v>
      </c>
      <c r="C854" t="s">
        <v>243</v>
      </c>
      <c r="D854" t="s">
        <v>244</v>
      </c>
      <c r="E854" t="s">
        <v>22</v>
      </c>
      <c r="F854">
        <v>38</v>
      </c>
      <c r="G854" t="s">
        <v>23</v>
      </c>
      <c r="H854" t="s">
        <v>24</v>
      </c>
      <c r="I854" t="s">
        <v>35</v>
      </c>
      <c r="J854" t="s">
        <v>126</v>
      </c>
      <c r="K854">
        <v>2</v>
      </c>
      <c r="L854">
        <v>1499</v>
      </c>
      <c r="M854" s="3">
        <v>0.15</v>
      </c>
      <c r="N854">
        <v>2548.3000000000002</v>
      </c>
      <c r="O854">
        <v>1700</v>
      </c>
      <c r="P854">
        <v>848.3</v>
      </c>
      <c r="Q854" t="s">
        <v>69</v>
      </c>
      <c r="R854" t="s">
        <v>77</v>
      </c>
      <c r="S854">
        <v>4</v>
      </c>
    </row>
    <row r="855" spans="1:19">
      <c r="A855" t="s">
        <v>1200</v>
      </c>
      <c r="B855" s="2">
        <v>45962</v>
      </c>
      <c r="C855" t="s">
        <v>273</v>
      </c>
      <c r="D855" t="s">
        <v>274</v>
      </c>
      <c r="E855" t="s">
        <v>22</v>
      </c>
      <c r="F855">
        <v>41</v>
      </c>
      <c r="G855" t="s">
        <v>105</v>
      </c>
      <c r="H855" t="s">
        <v>105</v>
      </c>
      <c r="I855" t="s">
        <v>43</v>
      </c>
      <c r="J855" t="s">
        <v>44</v>
      </c>
      <c r="K855">
        <v>1</v>
      </c>
      <c r="L855">
        <v>1599</v>
      </c>
      <c r="M855" s="3">
        <v>0.05</v>
      </c>
      <c r="N855">
        <v>1519.05</v>
      </c>
      <c r="O855">
        <v>950</v>
      </c>
      <c r="P855">
        <v>569.04999999999995</v>
      </c>
      <c r="Q855" t="s">
        <v>27</v>
      </c>
      <c r="R855" t="s">
        <v>137</v>
      </c>
      <c r="S855">
        <v>2</v>
      </c>
    </row>
    <row r="856" spans="1:19">
      <c r="A856" t="s">
        <v>1201</v>
      </c>
      <c r="B856" s="2">
        <v>45692</v>
      </c>
      <c r="C856" t="s">
        <v>345</v>
      </c>
      <c r="D856" t="s">
        <v>346</v>
      </c>
      <c r="E856" t="s">
        <v>32</v>
      </c>
      <c r="F856">
        <v>33</v>
      </c>
      <c r="G856" t="s">
        <v>73</v>
      </c>
      <c r="H856" t="s">
        <v>74</v>
      </c>
      <c r="I856" t="s">
        <v>75</v>
      </c>
      <c r="J856" t="s">
        <v>76</v>
      </c>
      <c r="K856">
        <v>3</v>
      </c>
      <c r="L856">
        <v>399</v>
      </c>
      <c r="M856" s="3">
        <v>0.15</v>
      </c>
      <c r="N856">
        <v>1017.45</v>
      </c>
      <c r="O856">
        <v>660</v>
      </c>
      <c r="P856">
        <v>357.45</v>
      </c>
      <c r="Q856" t="s">
        <v>37</v>
      </c>
      <c r="R856" t="s">
        <v>137</v>
      </c>
      <c r="S856">
        <v>4</v>
      </c>
    </row>
    <row r="857" spans="1:19">
      <c r="A857" t="s">
        <v>1202</v>
      </c>
      <c r="B857" s="2">
        <v>46090</v>
      </c>
      <c r="C857" t="s">
        <v>224</v>
      </c>
      <c r="D857" t="s">
        <v>225</v>
      </c>
      <c r="E857" t="s">
        <v>32</v>
      </c>
      <c r="F857">
        <v>19</v>
      </c>
      <c r="G857" t="s">
        <v>33</v>
      </c>
      <c r="H857" t="s">
        <v>34</v>
      </c>
      <c r="I857" t="s">
        <v>117</v>
      </c>
      <c r="J857" t="s">
        <v>152</v>
      </c>
      <c r="K857">
        <v>4</v>
      </c>
      <c r="L857">
        <v>899</v>
      </c>
      <c r="M857" s="3">
        <v>0.1</v>
      </c>
      <c r="N857">
        <v>3236.4</v>
      </c>
      <c r="O857">
        <v>2000</v>
      </c>
      <c r="P857">
        <v>1236.4000000000001</v>
      </c>
      <c r="Q857" t="s">
        <v>69</v>
      </c>
      <c r="R857" t="s">
        <v>137</v>
      </c>
      <c r="S857">
        <v>3</v>
      </c>
    </row>
    <row r="858" spans="1:19">
      <c r="A858" t="s">
        <v>1203</v>
      </c>
      <c r="B858" s="2">
        <v>46218</v>
      </c>
      <c r="C858" t="s">
        <v>326</v>
      </c>
      <c r="D858" t="s">
        <v>327</v>
      </c>
      <c r="E858" t="s">
        <v>22</v>
      </c>
      <c r="F858">
        <v>33</v>
      </c>
      <c r="G858" t="s">
        <v>141</v>
      </c>
      <c r="H858" t="s">
        <v>142</v>
      </c>
      <c r="I858" t="s">
        <v>25</v>
      </c>
      <c r="J858" t="s">
        <v>26</v>
      </c>
      <c r="K858">
        <v>3</v>
      </c>
      <c r="L858">
        <v>2499</v>
      </c>
      <c r="M858" s="3">
        <v>0.15</v>
      </c>
      <c r="N858">
        <v>6372.45</v>
      </c>
      <c r="O858">
        <v>4800</v>
      </c>
      <c r="P858">
        <v>1572.45</v>
      </c>
      <c r="Q858" t="s">
        <v>37</v>
      </c>
      <c r="R858" t="s">
        <v>28</v>
      </c>
      <c r="S858">
        <v>1</v>
      </c>
    </row>
    <row r="859" spans="1:19">
      <c r="A859" t="s">
        <v>1204</v>
      </c>
      <c r="B859" s="2">
        <v>45797</v>
      </c>
      <c r="C859" t="s">
        <v>332</v>
      </c>
      <c r="D859" t="s">
        <v>333</v>
      </c>
      <c r="E859" t="s">
        <v>32</v>
      </c>
      <c r="F859">
        <v>28</v>
      </c>
      <c r="G859" t="s">
        <v>93</v>
      </c>
      <c r="H859" t="s">
        <v>94</v>
      </c>
      <c r="I859" t="s">
        <v>75</v>
      </c>
      <c r="J859" t="s">
        <v>76</v>
      </c>
      <c r="K859">
        <v>2</v>
      </c>
      <c r="L859">
        <v>399</v>
      </c>
      <c r="M859" s="3">
        <v>0.15</v>
      </c>
      <c r="N859">
        <v>678.3</v>
      </c>
      <c r="O859">
        <v>440</v>
      </c>
      <c r="P859">
        <v>238.3</v>
      </c>
      <c r="Q859" t="s">
        <v>69</v>
      </c>
      <c r="R859" t="s">
        <v>28</v>
      </c>
      <c r="S859">
        <v>3</v>
      </c>
    </row>
    <row r="860" spans="1:19">
      <c r="A860" t="s">
        <v>1205</v>
      </c>
      <c r="B860" s="2">
        <v>45819</v>
      </c>
      <c r="C860" t="s">
        <v>436</v>
      </c>
      <c r="D860" t="s">
        <v>437</v>
      </c>
      <c r="E860" t="s">
        <v>32</v>
      </c>
      <c r="F860">
        <v>44</v>
      </c>
      <c r="G860" t="s">
        <v>73</v>
      </c>
      <c r="H860" t="s">
        <v>74</v>
      </c>
      <c r="I860" t="s">
        <v>75</v>
      </c>
      <c r="J860" t="s">
        <v>86</v>
      </c>
      <c r="K860">
        <v>1</v>
      </c>
      <c r="L860">
        <v>499</v>
      </c>
      <c r="M860" s="3">
        <v>0</v>
      </c>
      <c r="N860">
        <v>499</v>
      </c>
      <c r="O860">
        <v>300</v>
      </c>
      <c r="P860">
        <v>199</v>
      </c>
      <c r="Q860" t="s">
        <v>27</v>
      </c>
      <c r="R860" t="s">
        <v>28</v>
      </c>
      <c r="S860">
        <v>2</v>
      </c>
    </row>
    <row r="861" spans="1:19">
      <c r="A861" t="s">
        <v>1206</v>
      </c>
      <c r="B861" s="2">
        <v>45794</v>
      </c>
      <c r="C861" t="s">
        <v>270</v>
      </c>
      <c r="D861" t="s">
        <v>271</v>
      </c>
      <c r="E861" t="s">
        <v>22</v>
      </c>
      <c r="F861">
        <v>51</v>
      </c>
      <c r="G861" t="s">
        <v>48</v>
      </c>
      <c r="H861" t="s">
        <v>42</v>
      </c>
      <c r="I861" t="s">
        <v>163</v>
      </c>
      <c r="J861" t="s">
        <v>164</v>
      </c>
      <c r="K861">
        <v>4</v>
      </c>
      <c r="L861">
        <v>3499</v>
      </c>
      <c r="M861" s="3">
        <v>0.15</v>
      </c>
      <c r="N861">
        <v>11896.6</v>
      </c>
      <c r="O861">
        <v>8800</v>
      </c>
      <c r="P861">
        <v>3096.6</v>
      </c>
      <c r="Q861" t="s">
        <v>37</v>
      </c>
      <c r="R861" t="s">
        <v>28</v>
      </c>
      <c r="S861">
        <v>5</v>
      </c>
    </row>
    <row r="862" spans="1:19">
      <c r="A862" t="s">
        <v>1207</v>
      </c>
      <c r="B862" s="2">
        <v>46082</v>
      </c>
      <c r="C862" t="s">
        <v>532</v>
      </c>
      <c r="D862" t="s">
        <v>533</v>
      </c>
      <c r="E862" t="s">
        <v>22</v>
      </c>
      <c r="F862">
        <v>32</v>
      </c>
      <c r="G862" t="s">
        <v>180</v>
      </c>
      <c r="H862" t="s">
        <v>181</v>
      </c>
      <c r="I862" t="s">
        <v>43</v>
      </c>
      <c r="J862" t="s">
        <v>44</v>
      </c>
      <c r="K862">
        <v>2</v>
      </c>
      <c r="L862">
        <v>1599</v>
      </c>
      <c r="M862" s="3">
        <v>0</v>
      </c>
      <c r="N862">
        <v>3198</v>
      </c>
      <c r="O862">
        <v>1900</v>
      </c>
      <c r="P862">
        <v>1298</v>
      </c>
      <c r="Q862" t="s">
        <v>37</v>
      </c>
      <c r="R862" t="s">
        <v>28</v>
      </c>
      <c r="S862">
        <v>4</v>
      </c>
    </row>
    <row r="863" spans="1:19">
      <c r="A863" t="s">
        <v>1208</v>
      </c>
      <c r="B863" s="2">
        <v>46229</v>
      </c>
      <c r="C863" t="s">
        <v>283</v>
      </c>
      <c r="D863" t="s">
        <v>284</v>
      </c>
      <c r="E863" t="s">
        <v>32</v>
      </c>
      <c r="F863">
        <v>39</v>
      </c>
      <c r="G863" t="s">
        <v>55</v>
      </c>
      <c r="H863" t="s">
        <v>34</v>
      </c>
      <c r="I863" t="s">
        <v>43</v>
      </c>
      <c r="J863" t="s">
        <v>281</v>
      </c>
      <c r="K863">
        <v>1</v>
      </c>
      <c r="L863">
        <v>2999</v>
      </c>
      <c r="M863" s="3">
        <v>0</v>
      </c>
      <c r="N863">
        <v>2999</v>
      </c>
      <c r="O863">
        <v>1800</v>
      </c>
      <c r="P863">
        <v>1199</v>
      </c>
      <c r="Q863" t="s">
        <v>50</v>
      </c>
      <c r="R863" t="s">
        <v>28</v>
      </c>
      <c r="S863">
        <v>1</v>
      </c>
    </row>
    <row r="864" spans="1:19">
      <c r="A864" t="s">
        <v>1209</v>
      </c>
      <c r="B864" s="2">
        <v>45708</v>
      </c>
      <c r="C864" t="s">
        <v>144</v>
      </c>
      <c r="D864" t="s">
        <v>145</v>
      </c>
      <c r="E864" t="s">
        <v>32</v>
      </c>
      <c r="F864">
        <v>37</v>
      </c>
      <c r="G864" t="s">
        <v>146</v>
      </c>
      <c r="H864" t="s">
        <v>61</v>
      </c>
      <c r="I864" t="s">
        <v>43</v>
      </c>
      <c r="J864" t="s">
        <v>49</v>
      </c>
      <c r="K864">
        <v>3</v>
      </c>
      <c r="L864">
        <v>799</v>
      </c>
      <c r="M864" s="3">
        <v>0.05</v>
      </c>
      <c r="N864">
        <v>2277.15</v>
      </c>
      <c r="O864">
        <v>1350</v>
      </c>
      <c r="P864">
        <v>927.15</v>
      </c>
      <c r="Q864" t="s">
        <v>66</v>
      </c>
      <c r="R864" t="s">
        <v>28</v>
      </c>
      <c r="S864">
        <v>5</v>
      </c>
    </row>
    <row r="865" spans="1:19">
      <c r="A865" t="s">
        <v>1210</v>
      </c>
      <c r="B865" s="2">
        <v>45832</v>
      </c>
      <c r="C865" t="s">
        <v>641</v>
      </c>
      <c r="D865" t="s">
        <v>72</v>
      </c>
      <c r="E865" t="s">
        <v>32</v>
      </c>
      <c r="F865">
        <v>51</v>
      </c>
      <c r="G865" t="s">
        <v>115</v>
      </c>
      <c r="H865" t="s">
        <v>116</v>
      </c>
      <c r="I865" t="s">
        <v>25</v>
      </c>
      <c r="J865" t="s">
        <v>62</v>
      </c>
      <c r="K865">
        <v>1</v>
      </c>
      <c r="L865">
        <v>1299</v>
      </c>
      <c r="M865" s="3">
        <v>0.1</v>
      </c>
      <c r="N865">
        <v>1169.0999999999999</v>
      </c>
      <c r="O865">
        <v>800</v>
      </c>
      <c r="P865">
        <v>369.1</v>
      </c>
      <c r="Q865" t="s">
        <v>50</v>
      </c>
      <c r="R865" t="s">
        <v>28</v>
      </c>
      <c r="S865">
        <v>5</v>
      </c>
    </row>
    <row r="866" spans="1:19">
      <c r="A866" t="s">
        <v>1211</v>
      </c>
      <c r="B866" s="2">
        <v>45887</v>
      </c>
      <c r="C866" t="s">
        <v>1024</v>
      </c>
      <c r="D866" t="s">
        <v>1025</v>
      </c>
      <c r="E866" t="s">
        <v>22</v>
      </c>
      <c r="F866">
        <v>35</v>
      </c>
      <c r="G866" t="s">
        <v>93</v>
      </c>
      <c r="H866" t="s">
        <v>94</v>
      </c>
      <c r="I866" t="s">
        <v>35</v>
      </c>
      <c r="J866" t="s">
        <v>136</v>
      </c>
      <c r="K866">
        <v>4</v>
      </c>
      <c r="L866">
        <v>799</v>
      </c>
      <c r="M866" s="3">
        <v>0</v>
      </c>
      <c r="N866">
        <v>3196</v>
      </c>
      <c r="O866">
        <v>1800</v>
      </c>
      <c r="P866">
        <v>1396</v>
      </c>
      <c r="Q866" t="s">
        <v>27</v>
      </c>
      <c r="R866" t="s">
        <v>28</v>
      </c>
      <c r="S866">
        <v>3</v>
      </c>
    </row>
    <row r="867" spans="1:19">
      <c r="A867" t="s">
        <v>1212</v>
      </c>
      <c r="B867" s="2">
        <v>45791</v>
      </c>
      <c r="C867" t="s">
        <v>134</v>
      </c>
      <c r="D867" t="s">
        <v>135</v>
      </c>
      <c r="E867" t="s">
        <v>32</v>
      </c>
      <c r="F867">
        <v>53</v>
      </c>
      <c r="G867" t="s">
        <v>23</v>
      </c>
      <c r="H867" t="s">
        <v>24</v>
      </c>
      <c r="I867" t="s">
        <v>117</v>
      </c>
      <c r="J867" t="s">
        <v>152</v>
      </c>
      <c r="K867">
        <v>4</v>
      </c>
      <c r="L867">
        <v>899</v>
      </c>
      <c r="M867" s="3">
        <v>0.15</v>
      </c>
      <c r="N867">
        <v>3056.6</v>
      </c>
      <c r="O867">
        <v>2000</v>
      </c>
      <c r="P867">
        <v>1056.5999999999999</v>
      </c>
      <c r="Q867" t="s">
        <v>66</v>
      </c>
      <c r="R867" t="s">
        <v>137</v>
      </c>
      <c r="S867">
        <v>2</v>
      </c>
    </row>
    <row r="868" spans="1:19">
      <c r="A868" t="s">
        <v>1213</v>
      </c>
      <c r="B868" s="2">
        <v>45842</v>
      </c>
      <c r="C868" t="s">
        <v>53</v>
      </c>
      <c r="D868" t="s">
        <v>54</v>
      </c>
      <c r="E868" t="s">
        <v>22</v>
      </c>
      <c r="F868">
        <v>34</v>
      </c>
      <c r="G868" t="s">
        <v>55</v>
      </c>
      <c r="H868" t="s">
        <v>34</v>
      </c>
      <c r="I868" t="s">
        <v>117</v>
      </c>
      <c r="J868" t="s">
        <v>152</v>
      </c>
      <c r="K868">
        <v>2</v>
      </c>
      <c r="L868">
        <v>899</v>
      </c>
      <c r="M868" s="3">
        <v>0.15</v>
      </c>
      <c r="N868">
        <v>1528.3</v>
      </c>
      <c r="O868">
        <v>1000</v>
      </c>
      <c r="P868">
        <v>528.29999999999995</v>
      </c>
      <c r="Q868" t="s">
        <v>66</v>
      </c>
      <c r="R868" t="s">
        <v>137</v>
      </c>
      <c r="S868">
        <v>1</v>
      </c>
    </row>
    <row r="869" spans="1:19">
      <c r="A869" t="s">
        <v>1214</v>
      </c>
      <c r="B869" s="2">
        <v>46119</v>
      </c>
      <c r="C869" t="s">
        <v>623</v>
      </c>
      <c r="D869" t="s">
        <v>624</v>
      </c>
      <c r="E869" t="s">
        <v>22</v>
      </c>
      <c r="F869">
        <v>52</v>
      </c>
      <c r="G869" t="s">
        <v>60</v>
      </c>
      <c r="H869" t="s">
        <v>61</v>
      </c>
      <c r="I869" t="s">
        <v>43</v>
      </c>
      <c r="J869" t="s">
        <v>197</v>
      </c>
      <c r="K869">
        <v>2</v>
      </c>
      <c r="L869">
        <v>1799</v>
      </c>
      <c r="M869" s="3">
        <v>0.2</v>
      </c>
      <c r="N869">
        <v>2878.4</v>
      </c>
      <c r="O869">
        <v>2100</v>
      </c>
      <c r="P869">
        <v>778.4</v>
      </c>
      <c r="Q869" t="s">
        <v>27</v>
      </c>
      <c r="R869" t="s">
        <v>28</v>
      </c>
      <c r="S869">
        <v>4</v>
      </c>
    </row>
    <row r="870" spans="1:19">
      <c r="A870" t="s">
        <v>1215</v>
      </c>
      <c r="B870" s="2">
        <v>45989</v>
      </c>
      <c r="C870" t="s">
        <v>801</v>
      </c>
      <c r="D870" t="s">
        <v>225</v>
      </c>
      <c r="E870" t="s">
        <v>32</v>
      </c>
      <c r="F870">
        <v>55</v>
      </c>
      <c r="G870" t="s">
        <v>41</v>
      </c>
      <c r="H870" t="s">
        <v>42</v>
      </c>
      <c r="I870" t="s">
        <v>25</v>
      </c>
      <c r="J870" t="s">
        <v>156</v>
      </c>
      <c r="K870">
        <v>4</v>
      </c>
      <c r="L870">
        <v>1999</v>
      </c>
      <c r="M870" s="3">
        <v>0.05</v>
      </c>
      <c r="N870">
        <v>7596.2</v>
      </c>
      <c r="O870">
        <v>5200</v>
      </c>
      <c r="P870">
        <v>2396.1999999999998</v>
      </c>
      <c r="Q870" t="s">
        <v>66</v>
      </c>
      <c r="R870" t="s">
        <v>28</v>
      </c>
      <c r="S870">
        <v>4</v>
      </c>
    </row>
    <row r="871" spans="1:19">
      <c r="A871" t="s">
        <v>1216</v>
      </c>
      <c r="B871" s="2">
        <v>45755</v>
      </c>
      <c r="C871" t="s">
        <v>100</v>
      </c>
      <c r="D871" t="s">
        <v>101</v>
      </c>
      <c r="E871" t="s">
        <v>32</v>
      </c>
      <c r="F871">
        <v>50</v>
      </c>
      <c r="G871" t="s">
        <v>55</v>
      </c>
      <c r="H871" t="s">
        <v>34</v>
      </c>
      <c r="I871" t="s">
        <v>117</v>
      </c>
      <c r="J871" t="s">
        <v>152</v>
      </c>
      <c r="K871">
        <v>3</v>
      </c>
      <c r="L871">
        <v>899</v>
      </c>
      <c r="M871" s="3">
        <v>0</v>
      </c>
      <c r="N871">
        <v>2697</v>
      </c>
      <c r="O871">
        <v>1500</v>
      </c>
      <c r="P871">
        <v>1197</v>
      </c>
      <c r="Q871" t="s">
        <v>50</v>
      </c>
      <c r="R871" t="s">
        <v>28</v>
      </c>
      <c r="S871">
        <v>3</v>
      </c>
    </row>
    <row r="872" spans="1:19">
      <c r="A872" t="s">
        <v>1217</v>
      </c>
      <c r="B872" s="2">
        <v>45704</v>
      </c>
      <c r="C872" t="s">
        <v>463</v>
      </c>
      <c r="D872" t="s">
        <v>391</v>
      </c>
      <c r="E872" t="s">
        <v>32</v>
      </c>
      <c r="F872">
        <v>34</v>
      </c>
      <c r="G872" t="s">
        <v>81</v>
      </c>
      <c r="H872" t="s">
        <v>82</v>
      </c>
      <c r="I872" t="s">
        <v>35</v>
      </c>
      <c r="J872" t="s">
        <v>36</v>
      </c>
      <c r="K872">
        <v>3</v>
      </c>
      <c r="L872">
        <v>599</v>
      </c>
      <c r="M872" s="3">
        <v>0.2</v>
      </c>
      <c r="N872">
        <v>1437.6</v>
      </c>
      <c r="O872">
        <v>960</v>
      </c>
      <c r="P872">
        <v>477.6</v>
      </c>
      <c r="Q872" t="s">
        <v>69</v>
      </c>
      <c r="R872" t="s">
        <v>28</v>
      </c>
      <c r="S872">
        <v>5</v>
      </c>
    </row>
    <row r="873" spans="1:19">
      <c r="A873" t="s">
        <v>1218</v>
      </c>
      <c r="B873" s="2">
        <v>45793</v>
      </c>
      <c r="C873" t="s">
        <v>192</v>
      </c>
      <c r="D873" t="s">
        <v>193</v>
      </c>
      <c r="E873" t="s">
        <v>32</v>
      </c>
      <c r="F873">
        <v>47</v>
      </c>
      <c r="G873" t="s">
        <v>93</v>
      </c>
      <c r="H873" t="s">
        <v>94</v>
      </c>
      <c r="I873" t="s">
        <v>43</v>
      </c>
      <c r="J873" t="s">
        <v>44</v>
      </c>
      <c r="K873">
        <v>4</v>
      </c>
      <c r="L873">
        <v>1599</v>
      </c>
      <c r="M873" s="3">
        <v>0.1</v>
      </c>
      <c r="N873">
        <v>5756.4</v>
      </c>
      <c r="O873">
        <v>3800</v>
      </c>
      <c r="P873">
        <v>1956.4</v>
      </c>
      <c r="Q873" t="s">
        <v>50</v>
      </c>
      <c r="R873" t="s">
        <v>28</v>
      </c>
      <c r="S873">
        <v>2</v>
      </c>
    </row>
    <row r="874" spans="1:19">
      <c r="A874" t="s">
        <v>1219</v>
      </c>
      <c r="B874" s="2">
        <v>46137</v>
      </c>
      <c r="C874" t="s">
        <v>641</v>
      </c>
      <c r="D874" t="s">
        <v>72</v>
      </c>
      <c r="E874" t="s">
        <v>32</v>
      </c>
      <c r="F874">
        <v>51</v>
      </c>
      <c r="G874" t="s">
        <v>115</v>
      </c>
      <c r="H874" t="s">
        <v>116</v>
      </c>
      <c r="I874" t="s">
        <v>43</v>
      </c>
      <c r="J874" t="s">
        <v>95</v>
      </c>
      <c r="K874">
        <v>4</v>
      </c>
      <c r="L874">
        <v>2499</v>
      </c>
      <c r="M874" s="3">
        <v>0.1</v>
      </c>
      <c r="N874">
        <v>8996.4</v>
      </c>
      <c r="O874">
        <v>6000</v>
      </c>
      <c r="P874">
        <v>2996.4</v>
      </c>
      <c r="Q874" t="s">
        <v>27</v>
      </c>
      <c r="R874" t="s">
        <v>28</v>
      </c>
      <c r="S874">
        <v>5</v>
      </c>
    </row>
    <row r="875" spans="1:19">
      <c r="A875" t="s">
        <v>1220</v>
      </c>
      <c r="B875" s="2">
        <v>45978</v>
      </c>
      <c r="C875" t="s">
        <v>267</v>
      </c>
      <c r="D875" t="s">
        <v>268</v>
      </c>
      <c r="E875" t="s">
        <v>22</v>
      </c>
      <c r="F875">
        <v>35</v>
      </c>
      <c r="G875" t="s">
        <v>141</v>
      </c>
      <c r="H875" t="s">
        <v>142</v>
      </c>
      <c r="I875" t="s">
        <v>25</v>
      </c>
      <c r="J875" t="s">
        <v>62</v>
      </c>
      <c r="K875">
        <v>3</v>
      </c>
      <c r="L875">
        <v>1299</v>
      </c>
      <c r="M875" s="3">
        <v>0</v>
      </c>
      <c r="N875">
        <v>3897</v>
      </c>
      <c r="O875">
        <v>2400</v>
      </c>
      <c r="P875">
        <v>1497</v>
      </c>
      <c r="Q875" t="s">
        <v>69</v>
      </c>
      <c r="R875" t="s">
        <v>51</v>
      </c>
      <c r="S875">
        <v>4</v>
      </c>
    </row>
    <row r="876" spans="1:19">
      <c r="A876" t="s">
        <v>1221</v>
      </c>
      <c r="B876" s="2">
        <v>45947</v>
      </c>
      <c r="C876" t="s">
        <v>120</v>
      </c>
      <c r="D876" t="s">
        <v>121</v>
      </c>
      <c r="E876" t="s">
        <v>32</v>
      </c>
      <c r="F876">
        <v>35</v>
      </c>
      <c r="G876" t="s">
        <v>93</v>
      </c>
      <c r="H876" t="s">
        <v>94</v>
      </c>
      <c r="I876" t="s">
        <v>117</v>
      </c>
      <c r="J876" t="s">
        <v>152</v>
      </c>
      <c r="K876">
        <v>3</v>
      </c>
      <c r="L876">
        <v>899</v>
      </c>
      <c r="M876" s="3">
        <v>0.15</v>
      </c>
      <c r="N876">
        <v>2292.4499999999998</v>
      </c>
      <c r="O876">
        <v>1500</v>
      </c>
      <c r="P876">
        <v>792.45</v>
      </c>
      <c r="Q876" t="s">
        <v>37</v>
      </c>
      <c r="R876" t="s">
        <v>28</v>
      </c>
      <c r="S876">
        <v>3</v>
      </c>
    </row>
    <row r="877" spans="1:19">
      <c r="A877" t="s">
        <v>1222</v>
      </c>
      <c r="B877" s="2">
        <v>45981</v>
      </c>
      <c r="C877" t="s">
        <v>351</v>
      </c>
      <c r="D877" t="s">
        <v>352</v>
      </c>
      <c r="E877" t="s">
        <v>32</v>
      </c>
      <c r="F877">
        <v>41</v>
      </c>
      <c r="G877" t="s">
        <v>73</v>
      </c>
      <c r="H877" t="s">
        <v>74</v>
      </c>
      <c r="I877" t="s">
        <v>163</v>
      </c>
      <c r="J877" t="s">
        <v>164</v>
      </c>
      <c r="K877">
        <v>4</v>
      </c>
      <c r="L877">
        <v>3499</v>
      </c>
      <c r="M877" s="3">
        <v>0.05</v>
      </c>
      <c r="N877">
        <v>13296.2</v>
      </c>
      <c r="O877">
        <v>8800</v>
      </c>
      <c r="P877">
        <v>4496.2</v>
      </c>
      <c r="Q877" t="s">
        <v>66</v>
      </c>
      <c r="R877" t="s">
        <v>28</v>
      </c>
      <c r="S877">
        <v>2</v>
      </c>
    </row>
    <row r="878" spans="1:19">
      <c r="A878" t="s">
        <v>1223</v>
      </c>
      <c r="B878" s="2">
        <v>45851</v>
      </c>
      <c r="C878" t="s">
        <v>427</v>
      </c>
      <c r="D878" t="s">
        <v>248</v>
      </c>
      <c r="E878" t="s">
        <v>32</v>
      </c>
      <c r="F878">
        <v>33</v>
      </c>
      <c r="G878" t="s">
        <v>41</v>
      </c>
      <c r="H878" t="s">
        <v>42</v>
      </c>
      <c r="I878" t="s">
        <v>117</v>
      </c>
      <c r="J878" t="s">
        <v>118</v>
      </c>
      <c r="K878">
        <v>4</v>
      </c>
      <c r="L878">
        <v>999</v>
      </c>
      <c r="M878" s="3">
        <v>0</v>
      </c>
      <c r="N878">
        <v>3996</v>
      </c>
      <c r="O878">
        <v>2200</v>
      </c>
      <c r="P878">
        <v>1796</v>
      </c>
      <c r="Q878" t="s">
        <v>27</v>
      </c>
      <c r="R878" t="s">
        <v>28</v>
      </c>
      <c r="S878">
        <v>2</v>
      </c>
    </row>
    <row r="879" spans="1:19">
      <c r="A879" t="s">
        <v>1224</v>
      </c>
      <c r="B879" s="2">
        <v>46136</v>
      </c>
      <c r="C879" t="s">
        <v>321</v>
      </c>
      <c r="D879" t="s">
        <v>322</v>
      </c>
      <c r="E879" t="s">
        <v>22</v>
      </c>
      <c r="F879">
        <v>42</v>
      </c>
      <c r="G879" t="s">
        <v>23</v>
      </c>
      <c r="H879" t="s">
        <v>24</v>
      </c>
      <c r="I879" t="s">
        <v>35</v>
      </c>
      <c r="J879" t="s">
        <v>36</v>
      </c>
      <c r="K879">
        <v>3</v>
      </c>
      <c r="L879">
        <v>599</v>
      </c>
      <c r="M879" s="3">
        <v>0.05</v>
      </c>
      <c r="N879">
        <v>1707.15</v>
      </c>
      <c r="O879">
        <v>960</v>
      </c>
      <c r="P879">
        <v>747.15</v>
      </c>
      <c r="Q879" t="s">
        <v>66</v>
      </c>
      <c r="R879" t="s">
        <v>28</v>
      </c>
      <c r="S879">
        <v>4</v>
      </c>
    </row>
    <row r="880" spans="1:19">
      <c r="A880" t="s">
        <v>1225</v>
      </c>
      <c r="B880" s="2">
        <v>46154</v>
      </c>
      <c r="C880" t="s">
        <v>496</v>
      </c>
      <c r="D880" t="s">
        <v>408</v>
      </c>
      <c r="E880" t="s">
        <v>32</v>
      </c>
      <c r="F880">
        <v>54</v>
      </c>
      <c r="G880" t="s">
        <v>41</v>
      </c>
      <c r="H880" t="s">
        <v>42</v>
      </c>
      <c r="I880" t="s">
        <v>35</v>
      </c>
      <c r="J880" t="s">
        <v>136</v>
      </c>
      <c r="K880">
        <v>3</v>
      </c>
      <c r="L880">
        <v>799</v>
      </c>
      <c r="M880" s="3">
        <v>0.2</v>
      </c>
      <c r="N880">
        <v>1917.6</v>
      </c>
      <c r="O880">
        <v>1350</v>
      </c>
      <c r="P880">
        <v>567.6</v>
      </c>
      <c r="Q880" t="s">
        <v>66</v>
      </c>
      <c r="R880" t="s">
        <v>28</v>
      </c>
      <c r="S880">
        <v>2</v>
      </c>
    </row>
    <row r="881" spans="1:19">
      <c r="A881" t="s">
        <v>1226</v>
      </c>
      <c r="B881" s="2">
        <v>45948</v>
      </c>
      <c r="C881" t="s">
        <v>243</v>
      </c>
      <c r="D881" t="s">
        <v>244</v>
      </c>
      <c r="E881" t="s">
        <v>22</v>
      </c>
      <c r="F881">
        <v>38</v>
      </c>
      <c r="G881" t="s">
        <v>23</v>
      </c>
      <c r="H881" t="s">
        <v>24</v>
      </c>
      <c r="I881" t="s">
        <v>163</v>
      </c>
      <c r="J881" t="s">
        <v>214</v>
      </c>
      <c r="K881">
        <v>1</v>
      </c>
      <c r="L881">
        <v>1499</v>
      </c>
      <c r="M881" s="3">
        <v>0.05</v>
      </c>
      <c r="N881">
        <v>1424.05</v>
      </c>
      <c r="O881">
        <v>900</v>
      </c>
      <c r="P881">
        <v>524.04999999999995</v>
      </c>
      <c r="Q881" t="s">
        <v>27</v>
      </c>
      <c r="R881" t="s">
        <v>137</v>
      </c>
      <c r="S881">
        <v>3</v>
      </c>
    </row>
    <row r="882" spans="1:19">
      <c r="A882" t="s">
        <v>1227</v>
      </c>
      <c r="B882" s="2">
        <v>45662</v>
      </c>
      <c r="C882" t="s">
        <v>287</v>
      </c>
      <c r="D882" t="s">
        <v>190</v>
      </c>
      <c r="E882" t="s">
        <v>32</v>
      </c>
      <c r="F882">
        <v>39</v>
      </c>
      <c r="G882" t="s">
        <v>81</v>
      </c>
      <c r="H882" t="s">
        <v>82</v>
      </c>
      <c r="I882" t="s">
        <v>117</v>
      </c>
      <c r="J882" t="s">
        <v>118</v>
      </c>
      <c r="K882">
        <v>2</v>
      </c>
      <c r="L882">
        <v>999</v>
      </c>
      <c r="M882" s="3">
        <v>0.2</v>
      </c>
      <c r="N882">
        <v>1598.4</v>
      </c>
      <c r="O882">
        <v>1100</v>
      </c>
      <c r="P882">
        <v>498.4</v>
      </c>
      <c r="Q882" t="s">
        <v>50</v>
      </c>
      <c r="R882" t="s">
        <v>28</v>
      </c>
      <c r="S882">
        <v>2</v>
      </c>
    </row>
    <row r="883" spans="1:19">
      <c r="A883" t="s">
        <v>1228</v>
      </c>
      <c r="B883" s="2">
        <v>45754</v>
      </c>
      <c r="C883" t="s">
        <v>491</v>
      </c>
      <c r="D883" t="s">
        <v>92</v>
      </c>
      <c r="E883" t="s">
        <v>22</v>
      </c>
      <c r="F883">
        <v>25</v>
      </c>
      <c r="G883" t="s">
        <v>23</v>
      </c>
      <c r="H883" t="s">
        <v>24</v>
      </c>
      <c r="I883" t="s">
        <v>25</v>
      </c>
      <c r="J883" t="s">
        <v>26</v>
      </c>
      <c r="K883">
        <v>2</v>
      </c>
      <c r="L883">
        <v>2499</v>
      </c>
      <c r="M883" s="3">
        <v>0.15</v>
      </c>
      <c r="N883">
        <v>4248.3</v>
      </c>
      <c r="O883">
        <v>3200</v>
      </c>
      <c r="P883">
        <v>1048.3</v>
      </c>
      <c r="Q883" t="s">
        <v>37</v>
      </c>
      <c r="R883" t="s">
        <v>28</v>
      </c>
      <c r="S883">
        <v>1</v>
      </c>
    </row>
    <row r="884" spans="1:19">
      <c r="A884" t="s">
        <v>1229</v>
      </c>
      <c r="B884" s="2">
        <v>45815</v>
      </c>
      <c r="C884" t="s">
        <v>632</v>
      </c>
      <c r="D884" t="s">
        <v>633</v>
      </c>
      <c r="E884" t="s">
        <v>22</v>
      </c>
      <c r="F884">
        <v>33</v>
      </c>
      <c r="G884" t="s">
        <v>55</v>
      </c>
      <c r="H884" t="s">
        <v>34</v>
      </c>
      <c r="I884" t="s">
        <v>163</v>
      </c>
      <c r="J884" t="s">
        <v>214</v>
      </c>
      <c r="K884">
        <v>1</v>
      </c>
      <c r="L884">
        <v>1499</v>
      </c>
      <c r="M884" s="3">
        <v>0.1</v>
      </c>
      <c r="N884">
        <v>1349.1</v>
      </c>
      <c r="O884">
        <v>900</v>
      </c>
      <c r="P884">
        <v>449.1</v>
      </c>
      <c r="Q884" t="s">
        <v>69</v>
      </c>
      <c r="R884" t="s">
        <v>28</v>
      </c>
      <c r="S884">
        <v>4</v>
      </c>
    </row>
    <row r="885" spans="1:19">
      <c r="A885" t="s">
        <v>1230</v>
      </c>
      <c r="B885" s="2">
        <v>45663</v>
      </c>
      <c r="C885" t="s">
        <v>161</v>
      </c>
      <c r="D885" t="s">
        <v>162</v>
      </c>
      <c r="E885" t="s">
        <v>22</v>
      </c>
      <c r="F885">
        <v>44</v>
      </c>
      <c r="G885" t="s">
        <v>146</v>
      </c>
      <c r="H885" t="s">
        <v>61</v>
      </c>
      <c r="I885" t="s">
        <v>75</v>
      </c>
      <c r="J885" t="s">
        <v>76</v>
      </c>
      <c r="K885">
        <v>3</v>
      </c>
      <c r="L885">
        <v>399</v>
      </c>
      <c r="M885" s="3">
        <v>0.2</v>
      </c>
      <c r="N885">
        <v>957.6</v>
      </c>
      <c r="O885">
        <v>660</v>
      </c>
      <c r="P885">
        <v>297.60000000000002</v>
      </c>
      <c r="Q885" t="s">
        <v>37</v>
      </c>
      <c r="R885" t="s">
        <v>51</v>
      </c>
      <c r="S885">
        <v>5</v>
      </c>
    </row>
    <row r="886" spans="1:19">
      <c r="A886" t="s">
        <v>1231</v>
      </c>
      <c r="B886" s="2">
        <v>45707</v>
      </c>
      <c r="C886" t="s">
        <v>257</v>
      </c>
      <c r="D886" t="s">
        <v>125</v>
      </c>
      <c r="E886" t="s">
        <v>32</v>
      </c>
      <c r="F886">
        <v>52</v>
      </c>
      <c r="G886" t="s">
        <v>33</v>
      </c>
      <c r="H886" t="s">
        <v>34</v>
      </c>
      <c r="I886" t="s">
        <v>163</v>
      </c>
      <c r="J886" t="s">
        <v>164</v>
      </c>
      <c r="K886">
        <v>2</v>
      </c>
      <c r="L886">
        <v>3499</v>
      </c>
      <c r="M886" s="3">
        <v>0.05</v>
      </c>
      <c r="N886">
        <v>6648.1</v>
      </c>
      <c r="O886">
        <v>4400</v>
      </c>
      <c r="P886">
        <v>2248.1</v>
      </c>
      <c r="Q886" t="s">
        <v>37</v>
      </c>
      <c r="R886" t="s">
        <v>28</v>
      </c>
      <c r="S886">
        <v>1</v>
      </c>
    </row>
    <row r="887" spans="1:19">
      <c r="A887" t="s">
        <v>1232</v>
      </c>
      <c r="B887" s="2">
        <v>46066</v>
      </c>
      <c r="C887" t="s">
        <v>261</v>
      </c>
      <c r="D887" t="s">
        <v>262</v>
      </c>
      <c r="E887" t="s">
        <v>22</v>
      </c>
      <c r="F887">
        <v>54</v>
      </c>
      <c r="G887" t="s">
        <v>60</v>
      </c>
      <c r="H887" t="s">
        <v>61</v>
      </c>
      <c r="I887" t="s">
        <v>35</v>
      </c>
      <c r="J887" t="s">
        <v>126</v>
      </c>
      <c r="K887">
        <v>4</v>
      </c>
      <c r="L887">
        <v>1499</v>
      </c>
      <c r="M887" s="3">
        <v>0</v>
      </c>
      <c r="N887">
        <v>5996</v>
      </c>
      <c r="O887">
        <v>3400</v>
      </c>
      <c r="P887">
        <v>2596</v>
      </c>
      <c r="Q887" t="s">
        <v>37</v>
      </c>
      <c r="R887" t="s">
        <v>28</v>
      </c>
      <c r="S887">
        <v>4</v>
      </c>
    </row>
    <row r="888" spans="1:19">
      <c r="A888" t="s">
        <v>1233</v>
      </c>
      <c r="B888" s="2">
        <v>46055</v>
      </c>
      <c r="C888" t="s">
        <v>692</v>
      </c>
      <c r="D888" t="s">
        <v>343</v>
      </c>
      <c r="E888" t="s">
        <v>22</v>
      </c>
      <c r="F888">
        <v>50</v>
      </c>
      <c r="G888" t="s">
        <v>48</v>
      </c>
      <c r="H888" t="s">
        <v>42</v>
      </c>
      <c r="I888" t="s">
        <v>25</v>
      </c>
      <c r="J888" t="s">
        <v>156</v>
      </c>
      <c r="K888">
        <v>2</v>
      </c>
      <c r="L888">
        <v>1999</v>
      </c>
      <c r="M888" s="3">
        <v>0.05</v>
      </c>
      <c r="N888">
        <v>3798.1</v>
      </c>
      <c r="O888">
        <v>2600</v>
      </c>
      <c r="P888">
        <v>1198.0999999999999</v>
      </c>
      <c r="Q888" t="s">
        <v>66</v>
      </c>
      <c r="R888" t="s">
        <v>28</v>
      </c>
      <c r="S888">
        <v>2</v>
      </c>
    </row>
    <row r="889" spans="1:19">
      <c r="A889" t="s">
        <v>1234</v>
      </c>
      <c r="B889" s="2">
        <v>45975</v>
      </c>
      <c r="C889" t="s">
        <v>562</v>
      </c>
      <c r="D889" t="s">
        <v>563</v>
      </c>
      <c r="E889" t="s">
        <v>22</v>
      </c>
      <c r="F889">
        <v>27</v>
      </c>
      <c r="G889" t="s">
        <v>180</v>
      </c>
      <c r="H889" t="s">
        <v>181</v>
      </c>
      <c r="I889" t="s">
        <v>43</v>
      </c>
      <c r="J889" t="s">
        <v>44</v>
      </c>
      <c r="K889">
        <v>4</v>
      </c>
      <c r="L889">
        <v>1599</v>
      </c>
      <c r="M889" s="3">
        <v>0.15</v>
      </c>
      <c r="N889">
        <v>5436.6</v>
      </c>
      <c r="O889">
        <v>3800</v>
      </c>
      <c r="P889">
        <v>1636.6</v>
      </c>
      <c r="Q889" t="s">
        <v>50</v>
      </c>
      <c r="R889" t="s">
        <v>28</v>
      </c>
      <c r="S889">
        <v>1</v>
      </c>
    </row>
    <row r="890" spans="1:19">
      <c r="A890" t="s">
        <v>1235</v>
      </c>
      <c r="B890" s="2">
        <v>46114</v>
      </c>
      <c r="C890" t="s">
        <v>30</v>
      </c>
      <c r="D890" t="s">
        <v>31</v>
      </c>
      <c r="E890" t="s">
        <v>32</v>
      </c>
      <c r="F890">
        <v>29</v>
      </c>
      <c r="G890" t="s">
        <v>33</v>
      </c>
      <c r="H890" t="s">
        <v>34</v>
      </c>
      <c r="I890" t="s">
        <v>35</v>
      </c>
      <c r="J890" t="s">
        <v>108</v>
      </c>
      <c r="K890">
        <v>2</v>
      </c>
      <c r="L890">
        <v>699</v>
      </c>
      <c r="M890" s="3">
        <v>0.15</v>
      </c>
      <c r="N890">
        <v>1188.3</v>
      </c>
      <c r="O890">
        <v>760</v>
      </c>
      <c r="P890">
        <v>428.3</v>
      </c>
      <c r="Q890" t="s">
        <v>66</v>
      </c>
      <c r="R890" t="s">
        <v>28</v>
      </c>
      <c r="S890">
        <v>5</v>
      </c>
    </row>
    <row r="891" spans="1:19">
      <c r="A891" t="s">
        <v>1236</v>
      </c>
      <c r="B891" s="2">
        <v>45848</v>
      </c>
      <c r="C891" t="s">
        <v>100</v>
      </c>
      <c r="D891" t="s">
        <v>101</v>
      </c>
      <c r="E891" t="s">
        <v>32</v>
      </c>
      <c r="F891">
        <v>50</v>
      </c>
      <c r="G891" t="s">
        <v>55</v>
      </c>
      <c r="H891" t="s">
        <v>34</v>
      </c>
      <c r="I891" t="s">
        <v>25</v>
      </c>
      <c r="J891" t="s">
        <v>26</v>
      </c>
      <c r="K891">
        <v>4</v>
      </c>
      <c r="L891">
        <v>2499</v>
      </c>
      <c r="M891" s="3">
        <v>0.1</v>
      </c>
      <c r="N891">
        <v>8996.4</v>
      </c>
      <c r="O891">
        <v>6400</v>
      </c>
      <c r="P891">
        <v>2596.4</v>
      </c>
      <c r="Q891" t="s">
        <v>66</v>
      </c>
      <c r="R891" t="s">
        <v>28</v>
      </c>
      <c r="S891">
        <v>1</v>
      </c>
    </row>
    <row r="892" spans="1:19">
      <c r="A892" t="s">
        <v>1237</v>
      </c>
      <c r="B892" s="2">
        <v>45887</v>
      </c>
      <c r="C892" t="s">
        <v>496</v>
      </c>
      <c r="D892" t="s">
        <v>408</v>
      </c>
      <c r="E892" t="s">
        <v>32</v>
      </c>
      <c r="F892">
        <v>54</v>
      </c>
      <c r="G892" t="s">
        <v>41</v>
      </c>
      <c r="H892" t="s">
        <v>42</v>
      </c>
      <c r="I892" t="s">
        <v>35</v>
      </c>
      <c r="J892" t="s">
        <v>108</v>
      </c>
      <c r="K892">
        <v>3</v>
      </c>
      <c r="L892">
        <v>699</v>
      </c>
      <c r="M892" s="3">
        <v>0.15</v>
      </c>
      <c r="N892">
        <v>1782.45</v>
      </c>
      <c r="O892">
        <v>1140</v>
      </c>
      <c r="P892">
        <v>642.45000000000005</v>
      </c>
      <c r="Q892" t="s">
        <v>27</v>
      </c>
      <c r="R892" t="s">
        <v>77</v>
      </c>
      <c r="S892">
        <v>1</v>
      </c>
    </row>
    <row r="893" spans="1:19">
      <c r="A893" t="s">
        <v>1238</v>
      </c>
      <c r="B893" s="2">
        <v>46147</v>
      </c>
      <c r="C893" t="s">
        <v>623</v>
      </c>
      <c r="D893" t="s">
        <v>624</v>
      </c>
      <c r="E893" t="s">
        <v>22</v>
      </c>
      <c r="F893">
        <v>52</v>
      </c>
      <c r="G893" t="s">
        <v>60</v>
      </c>
      <c r="H893" t="s">
        <v>61</v>
      </c>
      <c r="I893" t="s">
        <v>35</v>
      </c>
      <c r="J893" t="s">
        <v>136</v>
      </c>
      <c r="K893">
        <v>4</v>
      </c>
      <c r="L893">
        <v>799</v>
      </c>
      <c r="M893" s="3">
        <v>0</v>
      </c>
      <c r="N893">
        <v>3196</v>
      </c>
      <c r="O893">
        <v>1800</v>
      </c>
      <c r="P893">
        <v>1396</v>
      </c>
      <c r="Q893" t="s">
        <v>37</v>
      </c>
      <c r="R893" t="s">
        <v>28</v>
      </c>
      <c r="S893">
        <v>2</v>
      </c>
    </row>
    <row r="894" spans="1:19">
      <c r="A894" t="s">
        <v>1239</v>
      </c>
      <c r="B894" s="2">
        <v>46240</v>
      </c>
      <c r="C894" t="s">
        <v>84</v>
      </c>
      <c r="D894" t="s">
        <v>85</v>
      </c>
      <c r="E894" t="s">
        <v>32</v>
      </c>
      <c r="F894">
        <v>20</v>
      </c>
      <c r="G894" t="s">
        <v>41</v>
      </c>
      <c r="H894" t="s">
        <v>42</v>
      </c>
      <c r="I894" t="s">
        <v>43</v>
      </c>
      <c r="J894" t="s">
        <v>281</v>
      </c>
      <c r="K894">
        <v>4</v>
      </c>
      <c r="L894">
        <v>2999</v>
      </c>
      <c r="M894" s="3">
        <v>0.1</v>
      </c>
      <c r="N894">
        <v>10796.4</v>
      </c>
      <c r="O894">
        <v>7200</v>
      </c>
      <c r="P894">
        <v>3596.4</v>
      </c>
      <c r="Q894" t="s">
        <v>69</v>
      </c>
      <c r="R894" t="s">
        <v>28</v>
      </c>
      <c r="S894">
        <v>1</v>
      </c>
    </row>
    <row r="895" spans="1:19">
      <c r="A895" t="s">
        <v>1240</v>
      </c>
      <c r="B895" s="2">
        <v>45754</v>
      </c>
      <c r="C895" t="s">
        <v>365</v>
      </c>
      <c r="D895" t="s">
        <v>366</v>
      </c>
      <c r="E895" t="s">
        <v>22</v>
      </c>
      <c r="F895">
        <v>54</v>
      </c>
      <c r="G895" t="s">
        <v>93</v>
      </c>
      <c r="H895" t="s">
        <v>94</v>
      </c>
      <c r="I895" t="s">
        <v>25</v>
      </c>
      <c r="J895" t="s">
        <v>56</v>
      </c>
      <c r="K895">
        <v>4</v>
      </c>
      <c r="L895">
        <v>899</v>
      </c>
      <c r="M895" s="3">
        <v>0.15</v>
      </c>
      <c r="N895">
        <v>3056.6</v>
      </c>
      <c r="O895">
        <v>2200</v>
      </c>
      <c r="P895">
        <v>856.6</v>
      </c>
      <c r="Q895" t="s">
        <v>66</v>
      </c>
      <c r="R895" t="s">
        <v>28</v>
      </c>
      <c r="S895">
        <v>5</v>
      </c>
    </row>
    <row r="896" spans="1:19">
      <c r="A896" t="s">
        <v>1241</v>
      </c>
      <c r="B896" s="2">
        <v>45741</v>
      </c>
      <c r="C896" t="s">
        <v>209</v>
      </c>
      <c r="D896" t="s">
        <v>210</v>
      </c>
      <c r="E896" t="s">
        <v>32</v>
      </c>
      <c r="F896">
        <v>26</v>
      </c>
      <c r="G896" t="s">
        <v>23</v>
      </c>
      <c r="H896" t="s">
        <v>24</v>
      </c>
      <c r="I896" t="s">
        <v>163</v>
      </c>
      <c r="J896" t="s">
        <v>214</v>
      </c>
      <c r="K896">
        <v>3</v>
      </c>
      <c r="L896">
        <v>1499</v>
      </c>
      <c r="M896" s="3">
        <v>0.2</v>
      </c>
      <c r="N896">
        <v>3597.6</v>
      </c>
      <c r="O896">
        <v>2700</v>
      </c>
      <c r="P896">
        <v>897.6</v>
      </c>
      <c r="Q896" t="s">
        <v>50</v>
      </c>
      <c r="R896" t="s">
        <v>28</v>
      </c>
      <c r="S896">
        <v>4</v>
      </c>
    </row>
    <row r="897" spans="1:19">
      <c r="A897" t="s">
        <v>1242</v>
      </c>
      <c r="B897" s="2">
        <v>45743</v>
      </c>
      <c r="C897" t="s">
        <v>511</v>
      </c>
      <c r="D897" t="s">
        <v>512</v>
      </c>
      <c r="E897" t="s">
        <v>22</v>
      </c>
      <c r="F897">
        <v>24</v>
      </c>
      <c r="G897" t="s">
        <v>115</v>
      </c>
      <c r="H897" t="s">
        <v>116</v>
      </c>
      <c r="I897" t="s">
        <v>43</v>
      </c>
      <c r="J897" t="s">
        <v>95</v>
      </c>
      <c r="K897">
        <v>4</v>
      </c>
      <c r="L897">
        <v>2499</v>
      </c>
      <c r="M897" s="3">
        <v>0</v>
      </c>
      <c r="N897">
        <v>9996</v>
      </c>
      <c r="O897">
        <v>6000</v>
      </c>
      <c r="P897">
        <v>3996</v>
      </c>
      <c r="Q897" t="s">
        <v>66</v>
      </c>
      <c r="R897" t="s">
        <v>137</v>
      </c>
      <c r="S897">
        <v>3</v>
      </c>
    </row>
    <row r="898" spans="1:19">
      <c r="A898" t="s">
        <v>1243</v>
      </c>
      <c r="B898" s="2">
        <v>45929</v>
      </c>
      <c r="C898" t="s">
        <v>436</v>
      </c>
      <c r="D898" t="s">
        <v>437</v>
      </c>
      <c r="E898" t="s">
        <v>32</v>
      </c>
      <c r="F898">
        <v>44</v>
      </c>
      <c r="G898" t="s">
        <v>73</v>
      </c>
      <c r="H898" t="s">
        <v>74</v>
      </c>
      <c r="I898" t="s">
        <v>75</v>
      </c>
      <c r="J898" t="s">
        <v>86</v>
      </c>
      <c r="K898">
        <v>4</v>
      </c>
      <c r="L898">
        <v>499</v>
      </c>
      <c r="M898" s="3">
        <v>0.15</v>
      </c>
      <c r="N898">
        <v>1696.6</v>
      </c>
      <c r="O898">
        <v>1200</v>
      </c>
      <c r="P898">
        <v>496.6</v>
      </c>
      <c r="Q898" t="s">
        <v>37</v>
      </c>
      <c r="R898" t="s">
        <v>51</v>
      </c>
      <c r="S898">
        <v>2</v>
      </c>
    </row>
    <row r="899" spans="1:19">
      <c r="A899" t="s">
        <v>1244</v>
      </c>
      <c r="B899" s="2">
        <v>45923</v>
      </c>
      <c r="C899" t="s">
        <v>585</v>
      </c>
      <c r="D899" t="s">
        <v>586</v>
      </c>
      <c r="E899" t="s">
        <v>32</v>
      </c>
      <c r="F899">
        <v>31</v>
      </c>
      <c r="G899" t="s">
        <v>48</v>
      </c>
      <c r="H899" t="s">
        <v>42</v>
      </c>
      <c r="I899" t="s">
        <v>43</v>
      </c>
      <c r="J899" t="s">
        <v>95</v>
      </c>
      <c r="K899">
        <v>1</v>
      </c>
      <c r="L899">
        <v>2499</v>
      </c>
      <c r="M899" s="3">
        <v>0.2</v>
      </c>
      <c r="N899">
        <v>1999.2</v>
      </c>
      <c r="O899">
        <v>1500</v>
      </c>
      <c r="P899">
        <v>499.2</v>
      </c>
      <c r="Q899" t="s">
        <v>69</v>
      </c>
      <c r="R899" t="s">
        <v>28</v>
      </c>
      <c r="S899">
        <v>1</v>
      </c>
    </row>
    <row r="900" spans="1:19">
      <c r="A900" t="s">
        <v>1245</v>
      </c>
      <c r="B900" s="2">
        <v>45833</v>
      </c>
      <c r="C900" t="s">
        <v>300</v>
      </c>
      <c r="D900" t="s">
        <v>301</v>
      </c>
      <c r="E900" t="s">
        <v>22</v>
      </c>
      <c r="F900">
        <v>24</v>
      </c>
      <c r="G900" t="s">
        <v>48</v>
      </c>
      <c r="H900" t="s">
        <v>42</v>
      </c>
      <c r="I900" t="s">
        <v>163</v>
      </c>
      <c r="J900" t="s">
        <v>290</v>
      </c>
      <c r="K900">
        <v>1</v>
      </c>
      <c r="L900">
        <v>1999</v>
      </c>
      <c r="M900" s="3">
        <v>0</v>
      </c>
      <c r="N900">
        <v>1999</v>
      </c>
      <c r="O900">
        <v>1200</v>
      </c>
      <c r="P900">
        <v>799</v>
      </c>
      <c r="Q900" t="s">
        <v>66</v>
      </c>
      <c r="R900" t="s">
        <v>28</v>
      </c>
      <c r="S900">
        <v>4</v>
      </c>
    </row>
    <row r="901" spans="1:19">
      <c r="A901" t="s">
        <v>1246</v>
      </c>
      <c r="B901" s="2">
        <v>45967</v>
      </c>
      <c r="C901" t="s">
        <v>178</v>
      </c>
      <c r="D901" t="s">
        <v>179</v>
      </c>
      <c r="E901" t="s">
        <v>32</v>
      </c>
      <c r="F901">
        <v>29</v>
      </c>
      <c r="G901" t="s">
        <v>180</v>
      </c>
      <c r="H901" t="s">
        <v>181</v>
      </c>
      <c r="I901" t="s">
        <v>43</v>
      </c>
      <c r="J901" t="s">
        <v>44</v>
      </c>
      <c r="K901">
        <v>3</v>
      </c>
      <c r="L901">
        <v>1599</v>
      </c>
      <c r="M901" s="3">
        <v>0.15</v>
      </c>
      <c r="N901">
        <v>4077.45</v>
      </c>
      <c r="O901">
        <v>2850</v>
      </c>
      <c r="P901">
        <v>1227.45</v>
      </c>
      <c r="Q901" t="s">
        <v>69</v>
      </c>
      <c r="R901" t="s">
        <v>28</v>
      </c>
      <c r="S901">
        <v>1</v>
      </c>
    </row>
    <row r="902" spans="1:19">
      <c r="A902" t="s">
        <v>1247</v>
      </c>
      <c r="B902" s="2">
        <v>45685</v>
      </c>
      <c r="C902" t="s">
        <v>603</v>
      </c>
      <c r="D902" t="s">
        <v>604</v>
      </c>
      <c r="E902" t="s">
        <v>32</v>
      </c>
      <c r="F902">
        <v>33</v>
      </c>
      <c r="G902" t="s">
        <v>41</v>
      </c>
      <c r="H902" t="s">
        <v>42</v>
      </c>
      <c r="I902" t="s">
        <v>25</v>
      </c>
      <c r="J902" t="s">
        <v>56</v>
      </c>
      <c r="K902">
        <v>1</v>
      </c>
      <c r="L902">
        <v>899</v>
      </c>
      <c r="M902" s="3">
        <v>0.05</v>
      </c>
      <c r="N902">
        <v>854.05</v>
      </c>
      <c r="O902">
        <v>550</v>
      </c>
      <c r="P902">
        <v>304.05</v>
      </c>
      <c r="Q902" t="s">
        <v>27</v>
      </c>
      <c r="R902" t="s">
        <v>28</v>
      </c>
      <c r="S902">
        <v>2</v>
      </c>
    </row>
    <row r="903" spans="1:19">
      <c r="A903" t="s">
        <v>1248</v>
      </c>
      <c r="B903" s="2">
        <v>45966</v>
      </c>
      <c r="C903" t="s">
        <v>363</v>
      </c>
      <c r="D903" t="s">
        <v>155</v>
      </c>
      <c r="E903" t="s">
        <v>32</v>
      </c>
      <c r="F903">
        <v>43</v>
      </c>
      <c r="G903" t="s">
        <v>48</v>
      </c>
      <c r="H903" t="s">
        <v>42</v>
      </c>
      <c r="I903" t="s">
        <v>163</v>
      </c>
      <c r="J903" t="s">
        <v>234</v>
      </c>
      <c r="K903">
        <v>2</v>
      </c>
      <c r="L903">
        <v>999</v>
      </c>
      <c r="M903" s="3">
        <v>0</v>
      </c>
      <c r="N903">
        <v>1998</v>
      </c>
      <c r="O903">
        <v>1200</v>
      </c>
      <c r="P903">
        <v>798</v>
      </c>
      <c r="Q903" t="s">
        <v>66</v>
      </c>
      <c r="R903" t="s">
        <v>28</v>
      </c>
      <c r="S903">
        <v>4</v>
      </c>
    </row>
    <row r="904" spans="1:19">
      <c r="A904" t="s">
        <v>1249</v>
      </c>
      <c r="B904" s="2">
        <v>46113</v>
      </c>
      <c r="C904" t="s">
        <v>113</v>
      </c>
      <c r="D904" t="s">
        <v>114</v>
      </c>
      <c r="E904" t="s">
        <v>32</v>
      </c>
      <c r="F904">
        <v>18</v>
      </c>
      <c r="G904" t="s">
        <v>115</v>
      </c>
      <c r="H904" t="s">
        <v>116</v>
      </c>
      <c r="I904" t="s">
        <v>25</v>
      </c>
      <c r="J904" t="s">
        <v>56</v>
      </c>
      <c r="K904">
        <v>2</v>
      </c>
      <c r="L904">
        <v>899</v>
      </c>
      <c r="M904" s="3">
        <v>0.05</v>
      </c>
      <c r="N904">
        <v>1708.1</v>
      </c>
      <c r="O904">
        <v>1100</v>
      </c>
      <c r="P904">
        <v>608.1</v>
      </c>
      <c r="Q904" t="s">
        <v>66</v>
      </c>
      <c r="R904" t="s">
        <v>28</v>
      </c>
      <c r="S904">
        <v>4</v>
      </c>
    </row>
    <row r="905" spans="1:19">
      <c r="A905" t="s">
        <v>1250</v>
      </c>
      <c r="B905" s="2">
        <v>46241</v>
      </c>
      <c r="C905" t="s">
        <v>264</v>
      </c>
      <c r="D905" t="s">
        <v>265</v>
      </c>
      <c r="E905" t="s">
        <v>22</v>
      </c>
      <c r="F905">
        <v>48</v>
      </c>
      <c r="G905" t="s">
        <v>23</v>
      </c>
      <c r="H905" t="s">
        <v>24</v>
      </c>
      <c r="I905" t="s">
        <v>43</v>
      </c>
      <c r="J905" t="s">
        <v>281</v>
      </c>
      <c r="K905">
        <v>2</v>
      </c>
      <c r="L905">
        <v>2999</v>
      </c>
      <c r="M905" s="3">
        <v>0.1</v>
      </c>
      <c r="N905">
        <v>5398.2</v>
      </c>
      <c r="O905">
        <v>3600</v>
      </c>
      <c r="P905">
        <v>1798.2</v>
      </c>
      <c r="Q905" t="s">
        <v>66</v>
      </c>
      <c r="R905" t="s">
        <v>28</v>
      </c>
      <c r="S905">
        <v>1</v>
      </c>
    </row>
    <row r="906" spans="1:19">
      <c r="A906" t="s">
        <v>1251</v>
      </c>
      <c r="B906" s="2">
        <v>46165</v>
      </c>
      <c r="C906" t="s">
        <v>595</v>
      </c>
      <c r="D906" t="s">
        <v>596</v>
      </c>
      <c r="E906" t="s">
        <v>22</v>
      </c>
      <c r="F906">
        <v>25</v>
      </c>
      <c r="G906" t="s">
        <v>180</v>
      </c>
      <c r="H906" t="s">
        <v>181</v>
      </c>
      <c r="I906" t="s">
        <v>75</v>
      </c>
      <c r="J906" t="s">
        <v>76</v>
      </c>
      <c r="K906">
        <v>4</v>
      </c>
      <c r="L906">
        <v>399</v>
      </c>
      <c r="M906" s="3">
        <v>0.15</v>
      </c>
      <c r="N906">
        <v>1356.6</v>
      </c>
      <c r="O906">
        <v>880</v>
      </c>
      <c r="P906">
        <v>476.6</v>
      </c>
      <c r="Q906" t="s">
        <v>50</v>
      </c>
      <c r="R906" t="s">
        <v>28</v>
      </c>
      <c r="S906">
        <v>5</v>
      </c>
    </row>
    <row r="907" spans="1:19">
      <c r="A907" t="s">
        <v>1252</v>
      </c>
      <c r="B907" s="2">
        <v>46155</v>
      </c>
      <c r="C907" t="s">
        <v>623</v>
      </c>
      <c r="D907" t="s">
        <v>624</v>
      </c>
      <c r="E907" t="s">
        <v>22</v>
      </c>
      <c r="F907">
        <v>52</v>
      </c>
      <c r="G907" t="s">
        <v>60</v>
      </c>
      <c r="H907" t="s">
        <v>61</v>
      </c>
      <c r="I907" t="s">
        <v>25</v>
      </c>
      <c r="J907" t="s">
        <v>68</v>
      </c>
      <c r="K907">
        <v>4</v>
      </c>
      <c r="L907">
        <v>2999</v>
      </c>
      <c r="M907" s="3">
        <v>0.15</v>
      </c>
      <c r="N907">
        <v>10196.6</v>
      </c>
      <c r="O907">
        <v>7600</v>
      </c>
      <c r="P907">
        <v>2596.6</v>
      </c>
      <c r="Q907" t="s">
        <v>50</v>
      </c>
      <c r="R907" t="s">
        <v>28</v>
      </c>
      <c r="S907">
        <v>5</v>
      </c>
    </row>
    <row r="908" spans="1:19">
      <c r="A908" t="s">
        <v>1253</v>
      </c>
      <c r="B908" s="2">
        <v>45677</v>
      </c>
      <c r="C908" t="s">
        <v>178</v>
      </c>
      <c r="D908" t="s">
        <v>179</v>
      </c>
      <c r="E908" t="s">
        <v>32</v>
      </c>
      <c r="F908">
        <v>29</v>
      </c>
      <c r="G908" t="s">
        <v>180</v>
      </c>
      <c r="H908" t="s">
        <v>181</v>
      </c>
      <c r="I908" t="s">
        <v>43</v>
      </c>
      <c r="J908" t="s">
        <v>281</v>
      </c>
      <c r="K908">
        <v>1</v>
      </c>
      <c r="L908">
        <v>2999</v>
      </c>
      <c r="M908" s="3">
        <v>0.2</v>
      </c>
      <c r="N908">
        <v>2399.1999999999998</v>
      </c>
      <c r="O908">
        <v>1800</v>
      </c>
      <c r="P908">
        <v>599.20000000000005</v>
      </c>
      <c r="Q908" t="s">
        <v>66</v>
      </c>
      <c r="R908" t="s">
        <v>28</v>
      </c>
      <c r="S908">
        <v>5</v>
      </c>
    </row>
    <row r="909" spans="1:19">
      <c r="A909" t="s">
        <v>1254</v>
      </c>
      <c r="B909" s="2">
        <v>45777</v>
      </c>
      <c r="C909" t="s">
        <v>817</v>
      </c>
      <c r="D909" t="s">
        <v>818</v>
      </c>
      <c r="E909" t="s">
        <v>22</v>
      </c>
      <c r="F909">
        <v>38</v>
      </c>
      <c r="G909" t="s">
        <v>41</v>
      </c>
      <c r="H909" t="s">
        <v>42</v>
      </c>
      <c r="I909" t="s">
        <v>43</v>
      </c>
      <c r="J909" t="s">
        <v>197</v>
      </c>
      <c r="K909">
        <v>4</v>
      </c>
      <c r="L909">
        <v>1799</v>
      </c>
      <c r="M909" s="3">
        <v>0.15</v>
      </c>
      <c r="N909">
        <v>6116.6</v>
      </c>
      <c r="O909">
        <v>4200</v>
      </c>
      <c r="P909">
        <v>1916.6</v>
      </c>
      <c r="Q909" t="s">
        <v>66</v>
      </c>
      <c r="R909" t="s">
        <v>28</v>
      </c>
      <c r="S909">
        <v>3</v>
      </c>
    </row>
    <row r="910" spans="1:19">
      <c r="A910" t="s">
        <v>1255</v>
      </c>
      <c r="B910" s="2">
        <v>45823</v>
      </c>
      <c r="C910" t="s">
        <v>317</v>
      </c>
      <c r="D910" t="s">
        <v>318</v>
      </c>
      <c r="E910" t="s">
        <v>22</v>
      </c>
      <c r="F910">
        <v>31</v>
      </c>
      <c r="G910" t="s">
        <v>33</v>
      </c>
      <c r="H910" t="s">
        <v>34</v>
      </c>
      <c r="I910" t="s">
        <v>117</v>
      </c>
      <c r="J910" t="s">
        <v>238</v>
      </c>
      <c r="K910">
        <v>4</v>
      </c>
      <c r="L910">
        <v>2499</v>
      </c>
      <c r="M910" s="3">
        <v>0</v>
      </c>
      <c r="N910">
        <v>9996</v>
      </c>
      <c r="O910">
        <v>6000</v>
      </c>
      <c r="P910">
        <v>3996</v>
      </c>
      <c r="Q910" t="s">
        <v>37</v>
      </c>
      <c r="R910" t="s">
        <v>28</v>
      </c>
      <c r="S910">
        <v>4</v>
      </c>
    </row>
    <row r="911" spans="1:19">
      <c r="A911" t="s">
        <v>1256</v>
      </c>
      <c r="B911" s="2">
        <v>45882</v>
      </c>
      <c r="C911" t="s">
        <v>199</v>
      </c>
      <c r="D911" t="s">
        <v>200</v>
      </c>
      <c r="E911" t="s">
        <v>22</v>
      </c>
      <c r="F911">
        <v>42</v>
      </c>
      <c r="G911" t="s">
        <v>33</v>
      </c>
      <c r="H911" t="s">
        <v>34</v>
      </c>
      <c r="I911" t="s">
        <v>35</v>
      </c>
      <c r="J911" t="s">
        <v>136</v>
      </c>
      <c r="K911">
        <v>2</v>
      </c>
      <c r="L911">
        <v>799</v>
      </c>
      <c r="M911" s="3">
        <v>0.2</v>
      </c>
      <c r="N911">
        <v>1278.4000000000001</v>
      </c>
      <c r="O911">
        <v>900</v>
      </c>
      <c r="P911">
        <v>378.4</v>
      </c>
      <c r="Q911" t="s">
        <v>50</v>
      </c>
      <c r="R911" t="s">
        <v>77</v>
      </c>
      <c r="S911">
        <v>3</v>
      </c>
    </row>
    <row r="912" spans="1:19">
      <c r="A912" t="s">
        <v>1257</v>
      </c>
      <c r="B912" s="2">
        <v>46084</v>
      </c>
      <c r="C912" t="s">
        <v>1185</v>
      </c>
      <c r="D912" t="s">
        <v>437</v>
      </c>
      <c r="E912" t="s">
        <v>22</v>
      </c>
      <c r="F912">
        <v>49</v>
      </c>
      <c r="G912" t="s">
        <v>23</v>
      </c>
      <c r="H912" t="s">
        <v>24</v>
      </c>
      <c r="I912" t="s">
        <v>25</v>
      </c>
      <c r="J912" t="s">
        <v>62</v>
      </c>
      <c r="K912">
        <v>3</v>
      </c>
      <c r="L912">
        <v>1299</v>
      </c>
      <c r="M912" s="3">
        <v>0.15</v>
      </c>
      <c r="N912">
        <v>3312.45</v>
      </c>
      <c r="O912">
        <v>2400</v>
      </c>
      <c r="P912">
        <v>912.45</v>
      </c>
      <c r="Q912" t="s">
        <v>37</v>
      </c>
      <c r="R912" t="s">
        <v>137</v>
      </c>
      <c r="S912">
        <v>2</v>
      </c>
    </row>
    <row r="913" spans="1:19">
      <c r="A913" t="s">
        <v>1258</v>
      </c>
      <c r="B913" s="2">
        <v>45790</v>
      </c>
      <c r="C913" t="s">
        <v>88</v>
      </c>
      <c r="D913" t="s">
        <v>89</v>
      </c>
      <c r="E913" t="s">
        <v>32</v>
      </c>
      <c r="F913">
        <v>53</v>
      </c>
      <c r="G913" t="s">
        <v>41</v>
      </c>
      <c r="H913" t="s">
        <v>42</v>
      </c>
      <c r="I913" t="s">
        <v>43</v>
      </c>
      <c r="J913" t="s">
        <v>44</v>
      </c>
      <c r="K913">
        <v>1</v>
      </c>
      <c r="L913">
        <v>1599</v>
      </c>
      <c r="M913" s="3">
        <v>0.15</v>
      </c>
      <c r="N913">
        <v>1359.15</v>
      </c>
      <c r="O913">
        <v>950</v>
      </c>
      <c r="P913">
        <v>409.15</v>
      </c>
      <c r="Q913" t="s">
        <v>27</v>
      </c>
      <c r="R913" t="s">
        <v>28</v>
      </c>
      <c r="S913">
        <v>5</v>
      </c>
    </row>
    <row r="914" spans="1:19">
      <c r="A914" t="s">
        <v>1259</v>
      </c>
      <c r="B914" s="2">
        <v>45968</v>
      </c>
      <c r="C914" t="s">
        <v>64</v>
      </c>
      <c r="D914" t="s">
        <v>65</v>
      </c>
      <c r="E914" t="s">
        <v>32</v>
      </c>
      <c r="F914">
        <v>31</v>
      </c>
      <c r="G914" t="s">
        <v>33</v>
      </c>
      <c r="H914" t="s">
        <v>34</v>
      </c>
      <c r="I914" t="s">
        <v>25</v>
      </c>
      <c r="J914" t="s">
        <v>56</v>
      </c>
      <c r="K914">
        <v>4</v>
      </c>
      <c r="L914">
        <v>899</v>
      </c>
      <c r="M914" s="3">
        <v>0.15</v>
      </c>
      <c r="N914">
        <v>3056.6</v>
      </c>
      <c r="O914">
        <v>2200</v>
      </c>
      <c r="P914">
        <v>856.6</v>
      </c>
      <c r="Q914" t="s">
        <v>27</v>
      </c>
      <c r="R914" t="s">
        <v>28</v>
      </c>
      <c r="S914">
        <v>1</v>
      </c>
    </row>
    <row r="915" spans="1:19">
      <c r="A915" t="s">
        <v>1260</v>
      </c>
      <c r="B915" s="2">
        <v>45820</v>
      </c>
      <c r="C915" t="s">
        <v>20</v>
      </c>
      <c r="D915" t="s">
        <v>21</v>
      </c>
      <c r="E915" t="s">
        <v>22</v>
      </c>
      <c r="F915">
        <v>52</v>
      </c>
      <c r="G915" t="s">
        <v>23</v>
      </c>
      <c r="H915" t="s">
        <v>24</v>
      </c>
      <c r="I915" t="s">
        <v>163</v>
      </c>
      <c r="J915" t="s">
        <v>214</v>
      </c>
      <c r="K915">
        <v>3</v>
      </c>
      <c r="L915">
        <v>1499</v>
      </c>
      <c r="M915" s="3">
        <v>0.1</v>
      </c>
      <c r="N915">
        <v>4047.3</v>
      </c>
      <c r="O915">
        <v>2700</v>
      </c>
      <c r="P915">
        <v>1347.3</v>
      </c>
      <c r="Q915" t="s">
        <v>27</v>
      </c>
      <c r="R915" t="s">
        <v>137</v>
      </c>
      <c r="S915">
        <v>1</v>
      </c>
    </row>
    <row r="916" spans="1:19">
      <c r="A916" t="s">
        <v>1261</v>
      </c>
      <c r="B916" s="2">
        <v>45890</v>
      </c>
      <c r="C916" t="s">
        <v>817</v>
      </c>
      <c r="D916" t="s">
        <v>818</v>
      </c>
      <c r="E916" t="s">
        <v>22</v>
      </c>
      <c r="F916">
        <v>38</v>
      </c>
      <c r="G916" t="s">
        <v>41</v>
      </c>
      <c r="H916" t="s">
        <v>42</v>
      </c>
      <c r="I916" t="s">
        <v>163</v>
      </c>
      <c r="J916" t="s">
        <v>164</v>
      </c>
      <c r="K916">
        <v>4</v>
      </c>
      <c r="L916">
        <v>3499</v>
      </c>
      <c r="M916" s="3">
        <v>0</v>
      </c>
      <c r="N916">
        <v>13996</v>
      </c>
      <c r="O916">
        <v>8800</v>
      </c>
      <c r="P916">
        <v>5196</v>
      </c>
      <c r="Q916" t="s">
        <v>69</v>
      </c>
      <c r="R916" t="s">
        <v>28</v>
      </c>
      <c r="S916">
        <v>4</v>
      </c>
    </row>
    <row r="917" spans="1:19">
      <c r="A917" t="s">
        <v>1262</v>
      </c>
      <c r="B917" s="2">
        <v>46228</v>
      </c>
      <c r="C917" t="s">
        <v>641</v>
      </c>
      <c r="D917" t="s">
        <v>72</v>
      </c>
      <c r="E917" t="s">
        <v>32</v>
      </c>
      <c r="F917">
        <v>51</v>
      </c>
      <c r="G917" t="s">
        <v>115</v>
      </c>
      <c r="H917" t="s">
        <v>116</v>
      </c>
      <c r="I917" t="s">
        <v>163</v>
      </c>
      <c r="J917" t="s">
        <v>164</v>
      </c>
      <c r="K917">
        <v>3</v>
      </c>
      <c r="L917">
        <v>3499</v>
      </c>
      <c r="M917" s="3">
        <v>0</v>
      </c>
      <c r="N917">
        <v>10497</v>
      </c>
      <c r="O917">
        <v>6600</v>
      </c>
      <c r="P917">
        <v>3897</v>
      </c>
      <c r="Q917" t="s">
        <v>37</v>
      </c>
      <c r="R917" t="s">
        <v>77</v>
      </c>
      <c r="S917">
        <v>1</v>
      </c>
    </row>
    <row r="918" spans="1:19">
      <c r="A918" t="s">
        <v>1263</v>
      </c>
      <c r="B918" s="2">
        <v>45766</v>
      </c>
      <c r="C918" t="s">
        <v>506</v>
      </c>
      <c r="D918" t="s">
        <v>414</v>
      </c>
      <c r="E918" t="s">
        <v>22</v>
      </c>
      <c r="F918">
        <v>42</v>
      </c>
      <c r="G918" t="s">
        <v>180</v>
      </c>
      <c r="H918" t="s">
        <v>181</v>
      </c>
      <c r="I918" t="s">
        <v>35</v>
      </c>
      <c r="J918" t="s">
        <v>136</v>
      </c>
      <c r="K918">
        <v>4</v>
      </c>
      <c r="L918">
        <v>799</v>
      </c>
      <c r="M918" s="3">
        <v>0</v>
      </c>
      <c r="N918">
        <v>3196</v>
      </c>
      <c r="O918">
        <v>1800</v>
      </c>
      <c r="P918">
        <v>1396</v>
      </c>
      <c r="Q918" t="s">
        <v>50</v>
      </c>
      <c r="R918" t="s">
        <v>28</v>
      </c>
      <c r="S918">
        <v>1</v>
      </c>
    </row>
    <row r="919" spans="1:19">
      <c r="A919" t="s">
        <v>1264</v>
      </c>
      <c r="B919" s="2">
        <v>45778</v>
      </c>
      <c r="C919" t="s">
        <v>277</v>
      </c>
      <c r="D919" t="s">
        <v>278</v>
      </c>
      <c r="E919" t="s">
        <v>32</v>
      </c>
      <c r="F919">
        <v>33</v>
      </c>
      <c r="G919" t="s">
        <v>105</v>
      </c>
      <c r="H919" t="s">
        <v>105</v>
      </c>
      <c r="I919" t="s">
        <v>25</v>
      </c>
      <c r="J919" t="s">
        <v>68</v>
      </c>
      <c r="K919">
        <v>1</v>
      </c>
      <c r="L919">
        <v>2999</v>
      </c>
      <c r="M919" s="3">
        <v>0.05</v>
      </c>
      <c r="N919">
        <v>2849.05</v>
      </c>
      <c r="O919">
        <v>1900</v>
      </c>
      <c r="P919">
        <v>949.05</v>
      </c>
      <c r="Q919" t="s">
        <v>27</v>
      </c>
      <c r="R919" t="s">
        <v>77</v>
      </c>
      <c r="S919">
        <v>2</v>
      </c>
    </row>
    <row r="920" spans="1:19">
      <c r="A920" t="s">
        <v>1265</v>
      </c>
      <c r="B920" s="2">
        <v>46168</v>
      </c>
      <c r="C920" t="s">
        <v>623</v>
      </c>
      <c r="D920" t="s">
        <v>624</v>
      </c>
      <c r="E920" t="s">
        <v>22</v>
      </c>
      <c r="F920">
        <v>52</v>
      </c>
      <c r="G920" t="s">
        <v>60</v>
      </c>
      <c r="H920" t="s">
        <v>61</v>
      </c>
      <c r="I920" t="s">
        <v>117</v>
      </c>
      <c r="J920" t="s">
        <v>238</v>
      </c>
      <c r="K920">
        <v>4</v>
      </c>
      <c r="L920">
        <v>2499</v>
      </c>
      <c r="M920" s="3">
        <v>0.2</v>
      </c>
      <c r="N920">
        <v>7996.8</v>
      </c>
      <c r="O920">
        <v>6000</v>
      </c>
      <c r="P920">
        <v>1996.8</v>
      </c>
      <c r="Q920" t="s">
        <v>69</v>
      </c>
      <c r="R920" t="s">
        <v>28</v>
      </c>
      <c r="S920">
        <v>3</v>
      </c>
    </row>
    <row r="921" spans="1:19">
      <c r="A921" t="s">
        <v>1266</v>
      </c>
      <c r="B921" s="2">
        <v>46107</v>
      </c>
      <c r="C921" t="s">
        <v>723</v>
      </c>
      <c r="D921" t="s">
        <v>724</v>
      </c>
      <c r="E921" t="s">
        <v>32</v>
      </c>
      <c r="F921">
        <v>52</v>
      </c>
      <c r="G921" t="s">
        <v>55</v>
      </c>
      <c r="H921" t="s">
        <v>34</v>
      </c>
      <c r="I921" t="s">
        <v>25</v>
      </c>
      <c r="J921" t="s">
        <v>62</v>
      </c>
      <c r="K921">
        <v>1</v>
      </c>
      <c r="L921">
        <v>1299</v>
      </c>
      <c r="M921" s="3">
        <v>0.05</v>
      </c>
      <c r="N921">
        <v>1234.05</v>
      </c>
      <c r="O921">
        <v>800</v>
      </c>
      <c r="P921">
        <v>434.05</v>
      </c>
      <c r="Q921" t="s">
        <v>66</v>
      </c>
      <c r="R921" t="s">
        <v>28</v>
      </c>
      <c r="S921">
        <v>1</v>
      </c>
    </row>
    <row r="922" spans="1:19">
      <c r="A922" t="s">
        <v>1267</v>
      </c>
      <c r="B922" s="2">
        <v>46175</v>
      </c>
      <c r="C922" t="s">
        <v>189</v>
      </c>
      <c r="D922" t="s">
        <v>190</v>
      </c>
      <c r="E922" t="s">
        <v>32</v>
      </c>
      <c r="F922">
        <v>22</v>
      </c>
      <c r="G922" t="s">
        <v>115</v>
      </c>
      <c r="H922" t="s">
        <v>116</v>
      </c>
      <c r="I922" t="s">
        <v>35</v>
      </c>
      <c r="J922" t="s">
        <v>36</v>
      </c>
      <c r="K922">
        <v>3</v>
      </c>
      <c r="L922">
        <v>599</v>
      </c>
      <c r="M922" s="3">
        <v>0.1</v>
      </c>
      <c r="N922">
        <v>1617.3</v>
      </c>
      <c r="O922">
        <v>960</v>
      </c>
      <c r="P922">
        <v>657.3</v>
      </c>
      <c r="Q922" t="s">
        <v>27</v>
      </c>
      <c r="R922" t="s">
        <v>28</v>
      </c>
      <c r="S922">
        <v>3</v>
      </c>
    </row>
    <row r="923" spans="1:19">
      <c r="A923" t="s">
        <v>1268</v>
      </c>
      <c r="B923" s="2">
        <v>46200</v>
      </c>
      <c r="C923" t="s">
        <v>491</v>
      </c>
      <c r="D923" t="s">
        <v>92</v>
      </c>
      <c r="E923" t="s">
        <v>22</v>
      </c>
      <c r="F923">
        <v>25</v>
      </c>
      <c r="G923" t="s">
        <v>23</v>
      </c>
      <c r="H923" t="s">
        <v>24</v>
      </c>
      <c r="I923" t="s">
        <v>163</v>
      </c>
      <c r="J923" t="s">
        <v>214</v>
      </c>
      <c r="K923">
        <v>2</v>
      </c>
      <c r="L923">
        <v>1499</v>
      </c>
      <c r="M923" s="3">
        <v>0.05</v>
      </c>
      <c r="N923">
        <v>2848.1</v>
      </c>
      <c r="O923">
        <v>1800</v>
      </c>
      <c r="P923">
        <v>1048.0999999999999</v>
      </c>
      <c r="Q923" t="s">
        <v>66</v>
      </c>
      <c r="R923" t="s">
        <v>137</v>
      </c>
      <c r="S923">
        <v>2</v>
      </c>
    </row>
    <row r="924" spans="1:19">
      <c r="A924" t="s">
        <v>1269</v>
      </c>
      <c r="B924" s="2">
        <v>46186</v>
      </c>
      <c r="C924" t="s">
        <v>488</v>
      </c>
      <c r="D924" t="s">
        <v>489</v>
      </c>
      <c r="E924" t="s">
        <v>22</v>
      </c>
      <c r="F924">
        <v>48</v>
      </c>
      <c r="G924" t="s">
        <v>115</v>
      </c>
      <c r="H924" t="s">
        <v>116</v>
      </c>
      <c r="I924" t="s">
        <v>163</v>
      </c>
      <c r="J924" t="s">
        <v>234</v>
      </c>
      <c r="K924">
        <v>4</v>
      </c>
      <c r="L924">
        <v>999</v>
      </c>
      <c r="M924" s="3">
        <v>0.15</v>
      </c>
      <c r="N924">
        <v>3396.6</v>
      </c>
      <c r="O924">
        <v>2400</v>
      </c>
      <c r="P924">
        <v>996.6</v>
      </c>
      <c r="Q924" t="s">
        <v>37</v>
      </c>
      <c r="R924" t="s">
        <v>77</v>
      </c>
      <c r="S924">
        <v>4</v>
      </c>
    </row>
    <row r="925" spans="1:19">
      <c r="A925" t="s">
        <v>1270</v>
      </c>
      <c r="B925" s="2">
        <v>46004</v>
      </c>
      <c r="C925" t="s">
        <v>354</v>
      </c>
      <c r="D925" t="s">
        <v>339</v>
      </c>
      <c r="E925" t="s">
        <v>32</v>
      </c>
      <c r="F925">
        <v>25</v>
      </c>
      <c r="G925" t="s">
        <v>115</v>
      </c>
      <c r="H925" t="s">
        <v>116</v>
      </c>
      <c r="I925" t="s">
        <v>25</v>
      </c>
      <c r="J925" t="s">
        <v>156</v>
      </c>
      <c r="K925">
        <v>1</v>
      </c>
      <c r="L925">
        <v>1999</v>
      </c>
      <c r="M925" s="3">
        <v>0</v>
      </c>
      <c r="N925">
        <v>1999</v>
      </c>
      <c r="O925">
        <v>1300</v>
      </c>
      <c r="P925">
        <v>699</v>
      </c>
      <c r="Q925" t="s">
        <v>37</v>
      </c>
      <c r="R925" t="s">
        <v>28</v>
      </c>
      <c r="S925">
        <v>2</v>
      </c>
    </row>
    <row r="926" spans="1:19">
      <c r="A926" t="s">
        <v>1271</v>
      </c>
      <c r="B926" s="2">
        <v>45812</v>
      </c>
      <c r="C926" t="s">
        <v>1024</v>
      </c>
      <c r="D926" t="s">
        <v>1025</v>
      </c>
      <c r="E926" t="s">
        <v>22</v>
      </c>
      <c r="F926">
        <v>35</v>
      </c>
      <c r="G926" t="s">
        <v>93</v>
      </c>
      <c r="H926" t="s">
        <v>94</v>
      </c>
      <c r="I926" t="s">
        <v>25</v>
      </c>
      <c r="J926" t="s">
        <v>68</v>
      </c>
      <c r="K926">
        <v>4</v>
      </c>
      <c r="L926">
        <v>2999</v>
      </c>
      <c r="M926" s="3">
        <v>0</v>
      </c>
      <c r="N926">
        <v>11996</v>
      </c>
      <c r="O926">
        <v>7600</v>
      </c>
      <c r="P926">
        <v>4396</v>
      </c>
      <c r="Q926" t="s">
        <v>50</v>
      </c>
      <c r="R926" t="s">
        <v>28</v>
      </c>
      <c r="S926">
        <v>5</v>
      </c>
    </row>
    <row r="927" spans="1:19">
      <c r="A927" t="s">
        <v>1272</v>
      </c>
      <c r="B927" s="2">
        <v>45969</v>
      </c>
      <c r="C927" t="s">
        <v>204</v>
      </c>
      <c r="D927" t="s">
        <v>205</v>
      </c>
      <c r="E927" t="s">
        <v>22</v>
      </c>
      <c r="F927">
        <v>45</v>
      </c>
      <c r="G927" t="s">
        <v>81</v>
      </c>
      <c r="H927" t="s">
        <v>82</v>
      </c>
      <c r="I927" t="s">
        <v>163</v>
      </c>
      <c r="J927" t="s">
        <v>234</v>
      </c>
      <c r="K927">
        <v>4</v>
      </c>
      <c r="L927">
        <v>999</v>
      </c>
      <c r="M927" s="3">
        <v>0.2</v>
      </c>
      <c r="N927">
        <v>3196.8</v>
      </c>
      <c r="O927">
        <v>2400</v>
      </c>
      <c r="P927">
        <v>796.8</v>
      </c>
      <c r="Q927" t="s">
        <v>37</v>
      </c>
      <c r="R927" t="s">
        <v>77</v>
      </c>
      <c r="S927">
        <v>1</v>
      </c>
    </row>
    <row r="928" spans="1:19">
      <c r="A928" t="s">
        <v>1273</v>
      </c>
      <c r="B928" s="2">
        <v>46114</v>
      </c>
      <c r="C928" t="s">
        <v>120</v>
      </c>
      <c r="D928" t="s">
        <v>121</v>
      </c>
      <c r="E928" t="s">
        <v>32</v>
      </c>
      <c r="F928">
        <v>35</v>
      </c>
      <c r="G928" t="s">
        <v>93</v>
      </c>
      <c r="H928" t="s">
        <v>94</v>
      </c>
      <c r="I928" t="s">
        <v>35</v>
      </c>
      <c r="J928" t="s">
        <v>108</v>
      </c>
      <c r="K928">
        <v>2</v>
      </c>
      <c r="L928">
        <v>699</v>
      </c>
      <c r="M928" s="3">
        <v>0.15</v>
      </c>
      <c r="N928">
        <v>1188.3</v>
      </c>
      <c r="O928">
        <v>760</v>
      </c>
      <c r="P928">
        <v>428.3</v>
      </c>
      <c r="Q928" t="s">
        <v>27</v>
      </c>
      <c r="R928" t="s">
        <v>77</v>
      </c>
      <c r="S928">
        <v>4</v>
      </c>
    </row>
    <row r="929" spans="1:19">
      <c r="A929" t="s">
        <v>1274</v>
      </c>
      <c r="B929" s="2">
        <v>45966</v>
      </c>
      <c r="C929" t="s">
        <v>199</v>
      </c>
      <c r="D929" t="s">
        <v>200</v>
      </c>
      <c r="E929" t="s">
        <v>22</v>
      </c>
      <c r="F929">
        <v>42</v>
      </c>
      <c r="G929" t="s">
        <v>33</v>
      </c>
      <c r="H929" t="s">
        <v>34</v>
      </c>
      <c r="I929" t="s">
        <v>75</v>
      </c>
      <c r="J929" t="s">
        <v>76</v>
      </c>
      <c r="K929">
        <v>4</v>
      </c>
      <c r="L929">
        <v>399</v>
      </c>
      <c r="M929" s="3">
        <v>0.05</v>
      </c>
      <c r="N929">
        <v>1516.2</v>
      </c>
      <c r="O929">
        <v>880</v>
      </c>
      <c r="P929">
        <v>636.20000000000005</v>
      </c>
      <c r="Q929" t="s">
        <v>69</v>
      </c>
      <c r="R929" t="s">
        <v>28</v>
      </c>
      <c r="S929">
        <v>3</v>
      </c>
    </row>
    <row r="930" spans="1:19">
      <c r="A930" t="s">
        <v>1275</v>
      </c>
      <c r="B930" s="2">
        <v>46211</v>
      </c>
      <c r="C930" t="s">
        <v>527</v>
      </c>
      <c r="D930" t="s">
        <v>528</v>
      </c>
      <c r="E930" t="s">
        <v>22</v>
      </c>
      <c r="F930">
        <v>36</v>
      </c>
      <c r="G930" t="s">
        <v>93</v>
      </c>
      <c r="H930" t="s">
        <v>94</v>
      </c>
      <c r="I930" t="s">
        <v>117</v>
      </c>
      <c r="J930" t="s">
        <v>152</v>
      </c>
      <c r="K930">
        <v>2</v>
      </c>
      <c r="L930">
        <v>899</v>
      </c>
      <c r="M930" s="3">
        <v>0.2</v>
      </c>
      <c r="N930">
        <v>1438.4</v>
      </c>
      <c r="O930">
        <v>1000</v>
      </c>
      <c r="P930">
        <v>438.4</v>
      </c>
      <c r="Q930" t="s">
        <v>37</v>
      </c>
      <c r="R930" t="s">
        <v>28</v>
      </c>
      <c r="S930">
        <v>5</v>
      </c>
    </row>
    <row r="931" spans="1:19">
      <c r="A931" t="s">
        <v>1276</v>
      </c>
      <c r="B931" s="2">
        <v>45681</v>
      </c>
      <c r="C931" t="s">
        <v>705</v>
      </c>
      <c r="D931" t="s">
        <v>98</v>
      </c>
      <c r="E931" t="s">
        <v>32</v>
      </c>
      <c r="F931">
        <v>47</v>
      </c>
      <c r="G931" t="s">
        <v>141</v>
      </c>
      <c r="H931" t="s">
        <v>142</v>
      </c>
      <c r="I931" t="s">
        <v>43</v>
      </c>
      <c r="J931" t="s">
        <v>44</v>
      </c>
      <c r="K931">
        <v>3</v>
      </c>
      <c r="L931">
        <v>1599</v>
      </c>
      <c r="M931" s="3">
        <v>0.05</v>
      </c>
      <c r="N931">
        <v>4557.1499999999996</v>
      </c>
      <c r="O931">
        <v>2850</v>
      </c>
      <c r="P931">
        <v>1707.15</v>
      </c>
      <c r="Q931" t="s">
        <v>69</v>
      </c>
      <c r="R931" t="s">
        <v>77</v>
      </c>
      <c r="S931">
        <v>3</v>
      </c>
    </row>
    <row r="932" spans="1:19">
      <c r="A932" t="s">
        <v>1277</v>
      </c>
      <c r="B932" s="2">
        <v>45771</v>
      </c>
      <c r="C932" t="s">
        <v>363</v>
      </c>
      <c r="D932" t="s">
        <v>155</v>
      </c>
      <c r="E932" t="s">
        <v>32</v>
      </c>
      <c r="F932">
        <v>43</v>
      </c>
      <c r="G932" t="s">
        <v>48</v>
      </c>
      <c r="H932" t="s">
        <v>42</v>
      </c>
      <c r="I932" t="s">
        <v>43</v>
      </c>
      <c r="J932" t="s">
        <v>44</v>
      </c>
      <c r="K932">
        <v>4</v>
      </c>
      <c r="L932">
        <v>1599</v>
      </c>
      <c r="M932" s="3">
        <v>0.2</v>
      </c>
      <c r="N932">
        <v>5116.8</v>
      </c>
      <c r="O932">
        <v>3800</v>
      </c>
      <c r="P932">
        <v>1316.8</v>
      </c>
      <c r="Q932" t="s">
        <v>69</v>
      </c>
      <c r="R932" t="s">
        <v>137</v>
      </c>
      <c r="S932">
        <v>3</v>
      </c>
    </row>
    <row r="933" spans="1:19">
      <c r="A933" t="s">
        <v>1278</v>
      </c>
      <c r="B933" s="2">
        <v>45785</v>
      </c>
      <c r="C933" t="s">
        <v>326</v>
      </c>
      <c r="D933" t="s">
        <v>327</v>
      </c>
      <c r="E933" t="s">
        <v>22</v>
      </c>
      <c r="F933">
        <v>33</v>
      </c>
      <c r="G933" t="s">
        <v>141</v>
      </c>
      <c r="H933" t="s">
        <v>142</v>
      </c>
      <c r="I933" t="s">
        <v>163</v>
      </c>
      <c r="J933" t="s">
        <v>214</v>
      </c>
      <c r="K933">
        <v>1</v>
      </c>
      <c r="L933">
        <v>1499</v>
      </c>
      <c r="M933" s="3">
        <v>0</v>
      </c>
      <c r="N933">
        <v>1499</v>
      </c>
      <c r="O933">
        <v>900</v>
      </c>
      <c r="P933">
        <v>599</v>
      </c>
      <c r="Q933" t="s">
        <v>66</v>
      </c>
      <c r="R933" t="s">
        <v>28</v>
      </c>
      <c r="S933">
        <v>1</v>
      </c>
    </row>
    <row r="934" spans="1:19">
      <c r="A934" t="s">
        <v>1279</v>
      </c>
      <c r="B934" s="2">
        <v>46237</v>
      </c>
      <c r="C934" t="s">
        <v>161</v>
      </c>
      <c r="D934" t="s">
        <v>162</v>
      </c>
      <c r="E934" t="s">
        <v>22</v>
      </c>
      <c r="F934">
        <v>44</v>
      </c>
      <c r="G934" t="s">
        <v>146</v>
      </c>
      <c r="H934" t="s">
        <v>61</v>
      </c>
      <c r="I934" t="s">
        <v>163</v>
      </c>
      <c r="J934" t="s">
        <v>164</v>
      </c>
      <c r="K934">
        <v>2</v>
      </c>
      <c r="L934">
        <v>3499</v>
      </c>
      <c r="M934" s="3">
        <v>0.2</v>
      </c>
      <c r="N934">
        <v>5598.4</v>
      </c>
      <c r="O934">
        <v>4400</v>
      </c>
      <c r="P934">
        <v>1198.4000000000001</v>
      </c>
      <c r="Q934" t="s">
        <v>50</v>
      </c>
      <c r="R934" t="s">
        <v>137</v>
      </c>
      <c r="S934">
        <v>2</v>
      </c>
    </row>
    <row r="935" spans="1:19">
      <c r="A935" t="s">
        <v>1280</v>
      </c>
      <c r="B935" s="2">
        <v>45801</v>
      </c>
      <c r="C935" t="s">
        <v>313</v>
      </c>
      <c r="D935" t="s">
        <v>72</v>
      </c>
      <c r="E935" t="s">
        <v>22</v>
      </c>
      <c r="F935">
        <v>45</v>
      </c>
      <c r="G935" t="s">
        <v>41</v>
      </c>
      <c r="H935" t="s">
        <v>42</v>
      </c>
      <c r="I935" t="s">
        <v>43</v>
      </c>
      <c r="J935" t="s">
        <v>44</v>
      </c>
      <c r="K935">
        <v>3</v>
      </c>
      <c r="L935">
        <v>1599</v>
      </c>
      <c r="M935" s="3">
        <v>0.2</v>
      </c>
      <c r="N935">
        <v>3837.6</v>
      </c>
      <c r="O935">
        <v>2850</v>
      </c>
      <c r="P935">
        <v>987.6</v>
      </c>
      <c r="Q935" t="s">
        <v>66</v>
      </c>
      <c r="R935" t="s">
        <v>28</v>
      </c>
      <c r="S935">
        <v>2</v>
      </c>
    </row>
    <row r="936" spans="1:19">
      <c r="A936" t="s">
        <v>1281</v>
      </c>
      <c r="B936" s="2">
        <v>46123</v>
      </c>
      <c r="C936" t="s">
        <v>595</v>
      </c>
      <c r="D936" t="s">
        <v>596</v>
      </c>
      <c r="E936" t="s">
        <v>22</v>
      </c>
      <c r="F936">
        <v>25</v>
      </c>
      <c r="G936" t="s">
        <v>180</v>
      </c>
      <c r="H936" t="s">
        <v>181</v>
      </c>
      <c r="I936" t="s">
        <v>163</v>
      </c>
      <c r="J936" t="s">
        <v>164</v>
      </c>
      <c r="K936">
        <v>2</v>
      </c>
      <c r="L936">
        <v>3499</v>
      </c>
      <c r="M936" s="3">
        <v>0.1</v>
      </c>
      <c r="N936">
        <v>6298.2</v>
      </c>
      <c r="O936">
        <v>4400</v>
      </c>
      <c r="P936">
        <v>1898.2</v>
      </c>
      <c r="Q936" t="s">
        <v>69</v>
      </c>
      <c r="R936" t="s">
        <v>28</v>
      </c>
      <c r="S936">
        <v>4</v>
      </c>
    </row>
    <row r="937" spans="1:19">
      <c r="A937" t="s">
        <v>1282</v>
      </c>
      <c r="B937" s="2">
        <v>46093</v>
      </c>
      <c r="C937" t="s">
        <v>270</v>
      </c>
      <c r="D937" t="s">
        <v>271</v>
      </c>
      <c r="E937" t="s">
        <v>22</v>
      </c>
      <c r="F937">
        <v>51</v>
      </c>
      <c r="G937" t="s">
        <v>48</v>
      </c>
      <c r="H937" t="s">
        <v>42</v>
      </c>
      <c r="I937" t="s">
        <v>25</v>
      </c>
      <c r="J937" t="s">
        <v>26</v>
      </c>
      <c r="K937">
        <v>1</v>
      </c>
      <c r="L937">
        <v>2499</v>
      </c>
      <c r="M937" s="3">
        <v>0</v>
      </c>
      <c r="N937">
        <v>2499</v>
      </c>
      <c r="O937">
        <v>1600</v>
      </c>
      <c r="P937">
        <v>899</v>
      </c>
      <c r="Q937" t="s">
        <v>27</v>
      </c>
      <c r="R937" t="s">
        <v>28</v>
      </c>
      <c r="S937">
        <v>4</v>
      </c>
    </row>
    <row r="938" spans="1:19">
      <c r="A938" t="s">
        <v>1283</v>
      </c>
      <c r="B938" s="2">
        <v>46230</v>
      </c>
      <c r="C938" t="s">
        <v>91</v>
      </c>
      <c r="D938" t="s">
        <v>92</v>
      </c>
      <c r="E938" t="s">
        <v>32</v>
      </c>
      <c r="F938">
        <v>43</v>
      </c>
      <c r="G938" t="s">
        <v>93</v>
      </c>
      <c r="H938" t="s">
        <v>94</v>
      </c>
      <c r="I938" t="s">
        <v>163</v>
      </c>
      <c r="J938" t="s">
        <v>214</v>
      </c>
      <c r="K938">
        <v>4</v>
      </c>
      <c r="L938">
        <v>1499</v>
      </c>
      <c r="M938" s="3">
        <v>0.2</v>
      </c>
      <c r="N938">
        <v>4796.8</v>
      </c>
      <c r="O938">
        <v>3600</v>
      </c>
      <c r="P938">
        <v>1196.8</v>
      </c>
      <c r="Q938" t="s">
        <v>50</v>
      </c>
      <c r="R938" t="s">
        <v>28</v>
      </c>
      <c r="S938">
        <v>3</v>
      </c>
    </row>
    <row r="939" spans="1:19">
      <c r="A939" t="s">
        <v>1284</v>
      </c>
      <c r="B939" s="2">
        <v>46159</v>
      </c>
      <c r="C939" t="s">
        <v>264</v>
      </c>
      <c r="D939" t="s">
        <v>265</v>
      </c>
      <c r="E939" t="s">
        <v>22</v>
      </c>
      <c r="F939">
        <v>48</v>
      </c>
      <c r="G939" t="s">
        <v>23</v>
      </c>
      <c r="H939" t="s">
        <v>24</v>
      </c>
      <c r="I939" t="s">
        <v>35</v>
      </c>
      <c r="J939" t="s">
        <v>36</v>
      </c>
      <c r="K939">
        <v>4</v>
      </c>
      <c r="L939">
        <v>599</v>
      </c>
      <c r="M939" s="3">
        <v>0.15</v>
      </c>
      <c r="N939">
        <v>2036.6</v>
      </c>
      <c r="O939">
        <v>1280</v>
      </c>
      <c r="P939">
        <v>756.6</v>
      </c>
      <c r="Q939" t="s">
        <v>66</v>
      </c>
      <c r="R939" t="s">
        <v>137</v>
      </c>
      <c r="S939">
        <v>2</v>
      </c>
    </row>
    <row r="940" spans="1:19">
      <c r="A940" t="s">
        <v>1285</v>
      </c>
      <c r="B940" s="2">
        <v>45790</v>
      </c>
      <c r="C940" t="s">
        <v>326</v>
      </c>
      <c r="D940" t="s">
        <v>327</v>
      </c>
      <c r="E940" t="s">
        <v>22</v>
      </c>
      <c r="F940">
        <v>33</v>
      </c>
      <c r="G940" t="s">
        <v>141</v>
      </c>
      <c r="H940" t="s">
        <v>142</v>
      </c>
      <c r="I940" t="s">
        <v>25</v>
      </c>
      <c r="J940" t="s">
        <v>62</v>
      </c>
      <c r="K940">
        <v>4</v>
      </c>
      <c r="L940">
        <v>1299</v>
      </c>
      <c r="M940" s="3">
        <v>0.15</v>
      </c>
      <c r="N940">
        <v>4416.6000000000004</v>
      </c>
      <c r="O940">
        <v>3200</v>
      </c>
      <c r="P940">
        <v>1216.5999999999999</v>
      </c>
      <c r="Q940" t="s">
        <v>50</v>
      </c>
      <c r="R940" t="s">
        <v>137</v>
      </c>
      <c r="S940">
        <v>1</v>
      </c>
    </row>
    <row r="941" spans="1:19">
      <c r="A941" t="s">
        <v>1286</v>
      </c>
      <c r="B941" s="2">
        <v>45818</v>
      </c>
      <c r="C941" t="s">
        <v>585</v>
      </c>
      <c r="D941" t="s">
        <v>586</v>
      </c>
      <c r="E941" t="s">
        <v>32</v>
      </c>
      <c r="F941">
        <v>31</v>
      </c>
      <c r="G941" t="s">
        <v>48</v>
      </c>
      <c r="H941" t="s">
        <v>42</v>
      </c>
      <c r="I941" t="s">
        <v>35</v>
      </c>
      <c r="J941" t="s">
        <v>136</v>
      </c>
      <c r="K941">
        <v>4</v>
      </c>
      <c r="L941">
        <v>799</v>
      </c>
      <c r="M941" s="3">
        <v>0</v>
      </c>
      <c r="N941">
        <v>3196</v>
      </c>
      <c r="O941">
        <v>1800</v>
      </c>
      <c r="P941">
        <v>1396</v>
      </c>
      <c r="Q941" t="s">
        <v>50</v>
      </c>
      <c r="R941" t="s">
        <v>28</v>
      </c>
      <c r="S941">
        <v>1</v>
      </c>
    </row>
    <row r="942" spans="1:19">
      <c r="A942" t="s">
        <v>1287</v>
      </c>
      <c r="B942" s="2">
        <v>46243</v>
      </c>
      <c r="C942" t="s">
        <v>568</v>
      </c>
      <c r="D942" t="s">
        <v>569</v>
      </c>
      <c r="E942" t="s">
        <v>22</v>
      </c>
      <c r="F942">
        <v>18</v>
      </c>
      <c r="G942" t="s">
        <v>48</v>
      </c>
      <c r="H942" t="s">
        <v>42</v>
      </c>
      <c r="I942" t="s">
        <v>25</v>
      </c>
      <c r="J942" t="s">
        <v>56</v>
      </c>
      <c r="K942">
        <v>1</v>
      </c>
      <c r="L942">
        <v>899</v>
      </c>
      <c r="M942" s="3">
        <v>0.1</v>
      </c>
      <c r="N942">
        <v>809.1</v>
      </c>
      <c r="O942">
        <v>550</v>
      </c>
      <c r="P942">
        <v>259.10000000000002</v>
      </c>
      <c r="Q942" t="s">
        <v>37</v>
      </c>
      <c r="R942" t="s">
        <v>28</v>
      </c>
      <c r="S942">
        <v>2</v>
      </c>
    </row>
    <row r="943" spans="1:19">
      <c r="A943" t="s">
        <v>1288</v>
      </c>
      <c r="B943" s="2">
        <v>45968</v>
      </c>
      <c r="C943" t="s">
        <v>562</v>
      </c>
      <c r="D943" t="s">
        <v>563</v>
      </c>
      <c r="E943" t="s">
        <v>22</v>
      </c>
      <c r="F943">
        <v>27</v>
      </c>
      <c r="G943" t="s">
        <v>180</v>
      </c>
      <c r="H943" t="s">
        <v>181</v>
      </c>
      <c r="I943" t="s">
        <v>163</v>
      </c>
      <c r="J943" t="s">
        <v>214</v>
      </c>
      <c r="K943">
        <v>3</v>
      </c>
      <c r="L943">
        <v>1499</v>
      </c>
      <c r="M943" s="3">
        <v>0.1</v>
      </c>
      <c r="N943">
        <v>4047.3</v>
      </c>
      <c r="O943">
        <v>2700</v>
      </c>
      <c r="P943">
        <v>1347.3</v>
      </c>
      <c r="Q943" t="s">
        <v>37</v>
      </c>
      <c r="R943" t="s">
        <v>28</v>
      </c>
      <c r="S943">
        <v>2</v>
      </c>
    </row>
    <row r="944" spans="1:19">
      <c r="A944" t="s">
        <v>1289</v>
      </c>
      <c r="B944" s="2">
        <v>45970</v>
      </c>
      <c r="C944" t="s">
        <v>598</v>
      </c>
      <c r="D944" t="s">
        <v>225</v>
      </c>
      <c r="E944" t="s">
        <v>22</v>
      </c>
      <c r="F944">
        <v>37</v>
      </c>
      <c r="G944" t="s">
        <v>48</v>
      </c>
      <c r="H944" t="s">
        <v>42</v>
      </c>
      <c r="I944" t="s">
        <v>75</v>
      </c>
      <c r="J944" t="s">
        <v>86</v>
      </c>
      <c r="K944">
        <v>4</v>
      </c>
      <c r="L944">
        <v>499</v>
      </c>
      <c r="M944" s="3">
        <v>0</v>
      </c>
      <c r="N944">
        <v>1996</v>
      </c>
      <c r="O944">
        <v>1200</v>
      </c>
      <c r="P944">
        <v>796</v>
      </c>
      <c r="Q944" t="s">
        <v>37</v>
      </c>
      <c r="R944" t="s">
        <v>28</v>
      </c>
      <c r="S944">
        <v>4</v>
      </c>
    </row>
    <row r="945" spans="1:19">
      <c r="A945" t="s">
        <v>1290</v>
      </c>
      <c r="B945" s="2">
        <v>45703</v>
      </c>
      <c r="C945" t="s">
        <v>760</v>
      </c>
      <c r="D945" t="s">
        <v>761</v>
      </c>
      <c r="E945" t="s">
        <v>22</v>
      </c>
      <c r="F945">
        <v>19</v>
      </c>
      <c r="G945" t="s">
        <v>93</v>
      </c>
      <c r="H945" t="s">
        <v>94</v>
      </c>
      <c r="I945" t="s">
        <v>25</v>
      </c>
      <c r="J945" t="s">
        <v>56</v>
      </c>
      <c r="K945">
        <v>3</v>
      </c>
      <c r="L945">
        <v>899</v>
      </c>
      <c r="M945" s="3">
        <v>0</v>
      </c>
      <c r="N945">
        <v>2697</v>
      </c>
      <c r="O945">
        <v>1650</v>
      </c>
      <c r="P945">
        <v>1047</v>
      </c>
      <c r="Q945" t="s">
        <v>66</v>
      </c>
      <c r="R945" t="s">
        <v>28</v>
      </c>
      <c r="S945">
        <v>3</v>
      </c>
    </row>
    <row r="946" spans="1:19">
      <c r="A946" t="s">
        <v>1291</v>
      </c>
      <c r="B946" s="2">
        <v>46144</v>
      </c>
      <c r="C946" t="s">
        <v>287</v>
      </c>
      <c r="D946" t="s">
        <v>190</v>
      </c>
      <c r="E946" t="s">
        <v>32</v>
      </c>
      <c r="F946">
        <v>39</v>
      </c>
      <c r="G946" t="s">
        <v>81</v>
      </c>
      <c r="H946" t="s">
        <v>82</v>
      </c>
      <c r="I946" t="s">
        <v>35</v>
      </c>
      <c r="J946" t="s">
        <v>136</v>
      </c>
      <c r="K946">
        <v>3</v>
      </c>
      <c r="L946">
        <v>799</v>
      </c>
      <c r="M946" s="3">
        <v>0.15</v>
      </c>
      <c r="N946">
        <v>2037.45</v>
      </c>
      <c r="O946">
        <v>1350</v>
      </c>
      <c r="P946">
        <v>687.45</v>
      </c>
      <c r="Q946" t="s">
        <v>50</v>
      </c>
      <c r="R946" t="s">
        <v>28</v>
      </c>
      <c r="S946">
        <v>2</v>
      </c>
    </row>
    <row r="947" spans="1:19">
      <c r="A947" t="s">
        <v>1292</v>
      </c>
      <c r="B947" s="2">
        <v>46117</v>
      </c>
      <c r="C947" t="s">
        <v>326</v>
      </c>
      <c r="D947" t="s">
        <v>327</v>
      </c>
      <c r="E947" t="s">
        <v>22</v>
      </c>
      <c r="F947">
        <v>33</v>
      </c>
      <c r="G947" t="s">
        <v>141</v>
      </c>
      <c r="H947" t="s">
        <v>142</v>
      </c>
      <c r="I947" t="s">
        <v>75</v>
      </c>
      <c r="J947" t="s">
        <v>76</v>
      </c>
      <c r="K947">
        <v>4</v>
      </c>
      <c r="L947">
        <v>399</v>
      </c>
      <c r="M947" s="3">
        <v>0.15</v>
      </c>
      <c r="N947">
        <v>1356.6</v>
      </c>
      <c r="O947">
        <v>880</v>
      </c>
      <c r="P947">
        <v>476.6</v>
      </c>
      <c r="Q947" t="s">
        <v>27</v>
      </c>
      <c r="R947" t="s">
        <v>137</v>
      </c>
      <c r="S947">
        <v>3</v>
      </c>
    </row>
    <row r="948" spans="1:19">
      <c r="A948" t="s">
        <v>1293</v>
      </c>
      <c r="B948" s="2">
        <v>45896</v>
      </c>
      <c r="C948" t="s">
        <v>692</v>
      </c>
      <c r="D948" t="s">
        <v>343</v>
      </c>
      <c r="E948" t="s">
        <v>22</v>
      </c>
      <c r="F948">
        <v>50</v>
      </c>
      <c r="G948" t="s">
        <v>48</v>
      </c>
      <c r="H948" t="s">
        <v>42</v>
      </c>
      <c r="I948" t="s">
        <v>75</v>
      </c>
      <c r="J948" t="s">
        <v>106</v>
      </c>
      <c r="K948">
        <v>4</v>
      </c>
      <c r="L948">
        <v>899</v>
      </c>
      <c r="M948" s="3">
        <v>0.15</v>
      </c>
      <c r="N948">
        <v>3056.6</v>
      </c>
      <c r="O948">
        <v>2400</v>
      </c>
      <c r="P948">
        <v>656.6</v>
      </c>
      <c r="Q948" t="s">
        <v>66</v>
      </c>
      <c r="R948" t="s">
        <v>28</v>
      </c>
      <c r="S948">
        <v>1</v>
      </c>
    </row>
    <row r="949" spans="1:19">
      <c r="A949" t="s">
        <v>1294</v>
      </c>
      <c r="B949" s="2">
        <v>45827</v>
      </c>
      <c r="C949" t="s">
        <v>381</v>
      </c>
      <c r="D949" t="s">
        <v>382</v>
      </c>
      <c r="E949" t="s">
        <v>22</v>
      </c>
      <c r="F949">
        <v>26</v>
      </c>
      <c r="G949" t="s">
        <v>55</v>
      </c>
      <c r="H949" t="s">
        <v>34</v>
      </c>
      <c r="I949" t="s">
        <v>117</v>
      </c>
      <c r="J949" t="s">
        <v>152</v>
      </c>
      <c r="K949">
        <v>3</v>
      </c>
      <c r="L949">
        <v>899</v>
      </c>
      <c r="M949" s="3">
        <v>0</v>
      </c>
      <c r="N949">
        <v>2697</v>
      </c>
      <c r="O949">
        <v>1500</v>
      </c>
      <c r="P949">
        <v>1197</v>
      </c>
      <c r="Q949" t="s">
        <v>69</v>
      </c>
      <c r="R949" t="s">
        <v>28</v>
      </c>
      <c r="S949">
        <v>3</v>
      </c>
    </row>
    <row r="950" spans="1:19">
      <c r="A950" t="s">
        <v>1295</v>
      </c>
      <c r="B950" s="2">
        <v>45745</v>
      </c>
      <c r="C950" t="s">
        <v>277</v>
      </c>
      <c r="D950" t="s">
        <v>278</v>
      </c>
      <c r="E950" t="s">
        <v>32</v>
      </c>
      <c r="F950">
        <v>33</v>
      </c>
      <c r="G950" t="s">
        <v>105</v>
      </c>
      <c r="H950" t="s">
        <v>105</v>
      </c>
      <c r="I950" t="s">
        <v>75</v>
      </c>
      <c r="J950" t="s">
        <v>76</v>
      </c>
      <c r="K950">
        <v>1</v>
      </c>
      <c r="L950">
        <v>399</v>
      </c>
      <c r="M950" s="3">
        <v>0.2</v>
      </c>
      <c r="N950">
        <v>319.2</v>
      </c>
      <c r="O950">
        <v>220</v>
      </c>
      <c r="P950">
        <v>99.2</v>
      </c>
      <c r="Q950" t="s">
        <v>27</v>
      </c>
      <c r="R950" t="s">
        <v>51</v>
      </c>
      <c r="S950">
        <v>5</v>
      </c>
    </row>
    <row r="951" spans="1:19">
      <c r="A951" t="s">
        <v>1296</v>
      </c>
      <c r="B951" s="2">
        <v>46172</v>
      </c>
      <c r="C951" t="s">
        <v>71</v>
      </c>
      <c r="D951" t="s">
        <v>72</v>
      </c>
      <c r="E951" t="s">
        <v>32</v>
      </c>
      <c r="F951">
        <v>53</v>
      </c>
      <c r="G951" t="s">
        <v>73</v>
      </c>
      <c r="H951" t="s">
        <v>74</v>
      </c>
      <c r="I951" t="s">
        <v>25</v>
      </c>
      <c r="J951" t="s">
        <v>68</v>
      </c>
      <c r="K951">
        <v>2</v>
      </c>
      <c r="L951">
        <v>2999</v>
      </c>
      <c r="M951" s="3">
        <v>0.15</v>
      </c>
      <c r="N951">
        <v>5098.3</v>
      </c>
      <c r="O951">
        <v>3800</v>
      </c>
      <c r="P951">
        <v>1298.3</v>
      </c>
      <c r="Q951" t="s">
        <v>69</v>
      </c>
      <c r="R951" t="s">
        <v>28</v>
      </c>
      <c r="S951">
        <v>5</v>
      </c>
    </row>
    <row r="952" spans="1:19">
      <c r="A952" t="s">
        <v>1297</v>
      </c>
      <c r="B952" s="2">
        <v>45909</v>
      </c>
      <c r="C952" t="s">
        <v>338</v>
      </c>
      <c r="D952" t="s">
        <v>339</v>
      </c>
      <c r="E952" t="s">
        <v>32</v>
      </c>
      <c r="F952">
        <v>24</v>
      </c>
      <c r="G952" t="s">
        <v>73</v>
      </c>
      <c r="H952" t="s">
        <v>74</v>
      </c>
      <c r="I952" t="s">
        <v>25</v>
      </c>
      <c r="J952" t="s">
        <v>156</v>
      </c>
      <c r="K952">
        <v>3</v>
      </c>
      <c r="L952">
        <v>1999</v>
      </c>
      <c r="M952" s="3">
        <v>0.05</v>
      </c>
      <c r="N952">
        <v>5697.15</v>
      </c>
      <c r="O952">
        <v>3900</v>
      </c>
      <c r="P952">
        <v>1797.15</v>
      </c>
      <c r="Q952" t="s">
        <v>50</v>
      </c>
      <c r="R952" t="s">
        <v>28</v>
      </c>
      <c r="S952">
        <v>5</v>
      </c>
    </row>
    <row r="953" spans="1:19">
      <c r="A953" t="s">
        <v>1298</v>
      </c>
      <c r="B953" s="2">
        <v>45681</v>
      </c>
      <c r="C953" t="s">
        <v>110</v>
      </c>
      <c r="D953" t="s">
        <v>111</v>
      </c>
      <c r="E953" t="s">
        <v>22</v>
      </c>
      <c r="F953">
        <v>47</v>
      </c>
      <c r="G953" t="s">
        <v>48</v>
      </c>
      <c r="H953" t="s">
        <v>42</v>
      </c>
      <c r="I953" t="s">
        <v>163</v>
      </c>
      <c r="J953" t="s">
        <v>290</v>
      </c>
      <c r="K953">
        <v>1</v>
      </c>
      <c r="L953">
        <v>1999</v>
      </c>
      <c r="M953" s="3">
        <v>0.15</v>
      </c>
      <c r="N953">
        <v>1699.15</v>
      </c>
      <c r="O953">
        <v>1200</v>
      </c>
      <c r="P953">
        <v>499.15</v>
      </c>
      <c r="Q953" t="s">
        <v>37</v>
      </c>
      <c r="R953" t="s">
        <v>28</v>
      </c>
      <c r="S953">
        <v>4</v>
      </c>
    </row>
    <row r="954" spans="1:19">
      <c r="A954" t="s">
        <v>1299</v>
      </c>
      <c r="B954" s="2">
        <v>45921</v>
      </c>
      <c r="C954" t="s">
        <v>390</v>
      </c>
      <c r="D954" t="s">
        <v>391</v>
      </c>
      <c r="E954" t="s">
        <v>32</v>
      </c>
      <c r="F954">
        <v>27</v>
      </c>
      <c r="G954" t="s">
        <v>55</v>
      </c>
      <c r="H954" t="s">
        <v>34</v>
      </c>
      <c r="I954" t="s">
        <v>35</v>
      </c>
      <c r="J954" t="s">
        <v>108</v>
      </c>
      <c r="K954">
        <v>3</v>
      </c>
      <c r="L954">
        <v>699</v>
      </c>
      <c r="M954" s="3">
        <v>0.15</v>
      </c>
      <c r="N954">
        <v>1782.45</v>
      </c>
      <c r="O954">
        <v>1140</v>
      </c>
      <c r="P954">
        <v>642.45000000000005</v>
      </c>
      <c r="Q954" t="s">
        <v>69</v>
      </c>
      <c r="R954" t="s">
        <v>28</v>
      </c>
      <c r="S954">
        <v>1</v>
      </c>
    </row>
    <row r="955" spans="1:19">
      <c r="A955" t="s">
        <v>1300</v>
      </c>
      <c r="B955" s="2">
        <v>45845</v>
      </c>
      <c r="C955" t="s">
        <v>233</v>
      </c>
      <c r="D955" t="s">
        <v>213</v>
      </c>
      <c r="E955" t="s">
        <v>32</v>
      </c>
      <c r="F955">
        <v>18</v>
      </c>
      <c r="G955" t="s">
        <v>93</v>
      </c>
      <c r="H955" t="s">
        <v>94</v>
      </c>
      <c r="I955" t="s">
        <v>43</v>
      </c>
      <c r="J955" t="s">
        <v>95</v>
      </c>
      <c r="K955">
        <v>3</v>
      </c>
      <c r="L955">
        <v>2499</v>
      </c>
      <c r="M955" s="3">
        <v>0.05</v>
      </c>
      <c r="N955">
        <v>7122.15</v>
      </c>
      <c r="O955">
        <v>4500</v>
      </c>
      <c r="P955">
        <v>2622.15</v>
      </c>
      <c r="Q955" t="s">
        <v>37</v>
      </c>
      <c r="R955" t="s">
        <v>28</v>
      </c>
      <c r="S955">
        <v>2</v>
      </c>
    </row>
    <row r="956" spans="1:19">
      <c r="A956" t="s">
        <v>1301</v>
      </c>
      <c r="B956" s="2">
        <v>45991</v>
      </c>
      <c r="C956" t="s">
        <v>103</v>
      </c>
      <c r="D956" t="s">
        <v>104</v>
      </c>
      <c r="E956" t="s">
        <v>32</v>
      </c>
      <c r="F956">
        <v>27</v>
      </c>
      <c r="G956" t="s">
        <v>105</v>
      </c>
      <c r="H956" t="s">
        <v>105</v>
      </c>
      <c r="I956" t="s">
        <v>163</v>
      </c>
      <c r="J956" t="s">
        <v>234</v>
      </c>
      <c r="K956">
        <v>2</v>
      </c>
      <c r="L956">
        <v>999</v>
      </c>
      <c r="M956" s="3">
        <v>0</v>
      </c>
      <c r="N956">
        <v>1998</v>
      </c>
      <c r="O956">
        <v>1200</v>
      </c>
      <c r="P956">
        <v>798</v>
      </c>
      <c r="Q956" t="s">
        <v>27</v>
      </c>
      <c r="R956" t="s">
        <v>28</v>
      </c>
      <c r="S956">
        <v>1</v>
      </c>
    </row>
    <row r="957" spans="1:19">
      <c r="A957" t="s">
        <v>1302</v>
      </c>
      <c r="B957" s="2">
        <v>45803</v>
      </c>
      <c r="C957" t="s">
        <v>84</v>
      </c>
      <c r="D957" t="s">
        <v>85</v>
      </c>
      <c r="E957" t="s">
        <v>32</v>
      </c>
      <c r="F957">
        <v>20</v>
      </c>
      <c r="G957" t="s">
        <v>41</v>
      </c>
      <c r="H957" t="s">
        <v>42</v>
      </c>
      <c r="I957" t="s">
        <v>163</v>
      </c>
      <c r="J957" t="s">
        <v>290</v>
      </c>
      <c r="K957">
        <v>1</v>
      </c>
      <c r="L957">
        <v>1999</v>
      </c>
      <c r="M957" s="3">
        <v>0.1</v>
      </c>
      <c r="N957">
        <v>1799.1</v>
      </c>
      <c r="O957">
        <v>1200</v>
      </c>
      <c r="P957">
        <v>599.1</v>
      </c>
      <c r="Q957" t="s">
        <v>66</v>
      </c>
      <c r="R957" t="s">
        <v>77</v>
      </c>
      <c r="S957">
        <v>3</v>
      </c>
    </row>
    <row r="958" spans="1:19">
      <c r="A958" t="s">
        <v>1303</v>
      </c>
      <c r="B958" s="2">
        <v>45903</v>
      </c>
      <c r="C958" t="s">
        <v>516</v>
      </c>
      <c r="D958" t="s">
        <v>449</v>
      </c>
      <c r="E958" t="s">
        <v>22</v>
      </c>
      <c r="F958">
        <v>45</v>
      </c>
      <c r="G958" t="s">
        <v>41</v>
      </c>
      <c r="H958" t="s">
        <v>42</v>
      </c>
      <c r="I958" t="s">
        <v>25</v>
      </c>
      <c r="J958" t="s">
        <v>56</v>
      </c>
      <c r="K958">
        <v>1</v>
      </c>
      <c r="L958">
        <v>899</v>
      </c>
      <c r="M958" s="3">
        <v>0.05</v>
      </c>
      <c r="N958">
        <v>854.05</v>
      </c>
      <c r="O958">
        <v>550</v>
      </c>
      <c r="P958">
        <v>304.05</v>
      </c>
      <c r="Q958" t="s">
        <v>50</v>
      </c>
      <c r="R958" t="s">
        <v>28</v>
      </c>
      <c r="S958">
        <v>4</v>
      </c>
    </row>
    <row r="959" spans="1:19">
      <c r="A959" t="s">
        <v>1304</v>
      </c>
      <c r="B959" s="2">
        <v>45933</v>
      </c>
      <c r="C959" t="s">
        <v>150</v>
      </c>
      <c r="D959" t="s">
        <v>151</v>
      </c>
      <c r="E959" t="s">
        <v>22</v>
      </c>
      <c r="F959">
        <v>33</v>
      </c>
      <c r="G959" t="s">
        <v>81</v>
      </c>
      <c r="H959" t="s">
        <v>82</v>
      </c>
      <c r="I959" t="s">
        <v>35</v>
      </c>
      <c r="J959" t="s">
        <v>108</v>
      </c>
      <c r="K959">
        <v>4</v>
      </c>
      <c r="L959">
        <v>699</v>
      </c>
      <c r="M959" s="3">
        <v>0</v>
      </c>
      <c r="N959">
        <v>2796</v>
      </c>
      <c r="O959">
        <v>1520</v>
      </c>
      <c r="P959">
        <v>1276</v>
      </c>
      <c r="Q959" t="s">
        <v>69</v>
      </c>
      <c r="R959" t="s">
        <v>28</v>
      </c>
      <c r="S959">
        <v>5</v>
      </c>
    </row>
    <row r="960" spans="1:19">
      <c r="A960" t="s">
        <v>1305</v>
      </c>
      <c r="B960" s="2">
        <v>46075</v>
      </c>
      <c r="C960" t="s">
        <v>568</v>
      </c>
      <c r="D960" t="s">
        <v>569</v>
      </c>
      <c r="E960" t="s">
        <v>22</v>
      </c>
      <c r="F960">
        <v>18</v>
      </c>
      <c r="G960" t="s">
        <v>48</v>
      </c>
      <c r="H960" t="s">
        <v>42</v>
      </c>
      <c r="I960" t="s">
        <v>25</v>
      </c>
      <c r="J960" t="s">
        <v>26</v>
      </c>
      <c r="K960">
        <v>4</v>
      </c>
      <c r="L960">
        <v>2499</v>
      </c>
      <c r="M960" s="3">
        <v>0</v>
      </c>
      <c r="N960">
        <v>9996</v>
      </c>
      <c r="O960">
        <v>6400</v>
      </c>
      <c r="P960">
        <v>3596</v>
      </c>
      <c r="Q960" t="s">
        <v>27</v>
      </c>
      <c r="R960" t="s">
        <v>77</v>
      </c>
      <c r="S960">
        <v>1</v>
      </c>
    </row>
    <row r="961" spans="1:19">
      <c r="A961" t="s">
        <v>1306</v>
      </c>
      <c r="B961" s="2">
        <v>46226</v>
      </c>
      <c r="C961" t="s">
        <v>154</v>
      </c>
      <c r="D961" t="s">
        <v>155</v>
      </c>
      <c r="E961" t="s">
        <v>22</v>
      </c>
      <c r="F961">
        <v>53</v>
      </c>
      <c r="G961" t="s">
        <v>105</v>
      </c>
      <c r="H961" t="s">
        <v>105</v>
      </c>
      <c r="I961" t="s">
        <v>35</v>
      </c>
      <c r="J961" t="s">
        <v>126</v>
      </c>
      <c r="K961">
        <v>1</v>
      </c>
      <c r="L961">
        <v>1499</v>
      </c>
      <c r="M961" s="3">
        <v>0.05</v>
      </c>
      <c r="N961">
        <v>1424.05</v>
      </c>
      <c r="O961">
        <v>850</v>
      </c>
      <c r="P961">
        <v>574.04999999999995</v>
      </c>
      <c r="Q961" t="s">
        <v>27</v>
      </c>
      <c r="R961" t="s">
        <v>28</v>
      </c>
      <c r="S961">
        <v>4</v>
      </c>
    </row>
    <row r="962" spans="1:19">
      <c r="A962" t="s">
        <v>1307</v>
      </c>
      <c r="B962" s="2">
        <v>46040</v>
      </c>
      <c r="C962" t="s">
        <v>317</v>
      </c>
      <c r="D962" t="s">
        <v>318</v>
      </c>
      <c r="E962" t="s">
        <v>22</v>
      </c>
      <c r="F962">
        <v>31</v>
      </c>
      <c r="G962" t="s">
        <v>33</v>
      </c>
      <c r="H962" t="s">
        <v>34</v>
      </c>
      <c r="I962" t="s">
        <v>25</v>
      </c>
      <c r="J962" t="s">
        <v>26</v>
      </c>
      <c r="K962">
        <v>2</v>
      </c>
      <c r="L962">
        <v>2499</v>
      </c>
      <c r="M962" s="3">
        <v>0.05</v>
      </c>
      <c r="N962">
        <v>4748.1000000000004</v>
      </c>
      <c r="O962">
        <v>3200</v>
      </c>
      <c r="P962">
        <v>1548.1</v>
      </c>
      <c r="Q962" t="s">
        <v>50</v>
      </c>
      <c r="R962" t="s">
        <v>51</v>
      </c>
      <c r="S962">
        <v>2</v>
      </c>
    </row>
    <row r="963" spans="1:19">
      <c r="A963" t="s">
        <v>1308</v>
      </c>
      <c r="B963" s="2">
        <v>45659</v>
      </c>
      <c r="C963" t="s">
        <v>467</v>
      </c>
      <c r="D963" t="s">
        <v>322</v>
      </c>
      <c r="E963" t="s">
        <v>32</v>
      </c>
      <c r="F963">
        <v>41</v>
      </c>
      <c r="G963" t="s">
        <v>55</v>
      </c>
      <c r="H963" t="s">
        <v>34</v>
      </c>
      <c r="I963" t="s">
        <v>163</v>
      </c>
      <c r="J963" t="s">
        <v>234</v>
      </c>
      <c r="K963">
        <v>4</v>
      </c>
      <c r="L963">
        <v>999</v>
      </c>
      <c r="M963" s="3">
        <v>0</v>
      </c>
      <c r="N963">
        <v>3996</v>
      </c>
      <c r="O963">
        <v>2400</v>
      </c>
      <c r="P963">
        <v>1596</v>
      </c>
      <c r="Q963" t="s">
        <v>66</v>
      </c>
      <c r="R963" t="s">
        <v>51</v>
      </c>
      <c r="S963">
        <v>5</v>
      </c>
    </row>
    <row r="964" spans="1:19">
      <c r="A964" t="s">
        <v>1309</v>
      </c>
      <c r="B964" s="2">
        <v>45719</v>
      </c>
      <c r="C964" t="s">
        <v>623</v>
      </c>
      <c r="D964" t="s">
        <v>624</v>
      </c>
      <c r="E964" t="s">
        <v>22</v>
      </c>
      <c r="F964">
        <v>52</v>
      </c>
      <c r="G964" t="s">
        <v>60</v>
      </c>
      <c r="H964" t="s">
        <v>61</v>
      </c>
      <c r="I964" t="s">
        <v>75</v>
      </c>
      <c r="J964" t="s">
        <v>76</v>
      </c>
      <c r="K964">
        <v>2</v>
      </c>
      <c r="L964">
        <v>399</v>
      </c>
      <c r="M964" s="3">
        <v>0</v>
      </c>
      <c r="N964">
        <v>798</v>
      </c>
      <c r="O964">
        <v>440</v>
      </c>
      <c r="P964">
        <v>358</v>
      </c>
      <c r="Q964" t="s">
        <v>66</v>
      </c>
      <c r="R964" t="s">
        <v>28</v>
      </c>
      <c r="S964">
        <v>3</v>
      </c>
    </row>
    <row r="965" spans="1:19">
      <c r="A965" t="s">
        <v>1310</v>
      </c>
      <c r="B965" s="2">
        <v>46180</v>
      </c>
      <c r="C965" t="s">
        <v>192</v>
      </c>
      <c r="D965" t="s">
        <v>193</v>
      </c>
      <c r="E965" t="s">
        <v>32</v>
      </c>
      <c r="F965">
        <v>47</v>
      </c>
      <c r="G965" t="s">
        <v>93</v>
      </c>
      <c r="H965" t="s">
        <v>94</v>
      </c>
      <c r="I965" t="s">
        <v>163</v>
      </c>
      <c r="J965" t="s">
        <v>214</v>
      </c>
      <c r="K965">
        <v>2</v>
      </c>
      <c r="L965">
        <v>1499</v>
      </c>
      <c r="M965" s="3">
        <v>0.2</v>
      </c>
      <c r="N965">
        <v>2398.4</v>
      </c>
      <c r="O965">
        <v>1800</v>
      </c>
      <c r="P965">
        <v>598.4</v>
      </c>
      <c r="Q965" t="s">
        <v>37</v>
      </c>
      <c r="R965" t="s">
        <v>28</v>
      </c>
      <c r="S965">
        <v>5</v>
      </c>
    </row>
    <row r="966" spans="1:19">
      <c r="A966" t="s">
        <v>1311</v>
      </c>
      <c r="B966" s="2">
        <v>46062</v>
      </c>
      <c r="C966" t="s">
        <v>287</v>
      </c>
      <c r="D966" t="s">
        <v>190</v>
      </c>
      <c r="E966" t="s">
        <v>32</v>
      </c>
      <c r="F966">
        <v>39</v>
      </c>
      <c r="G966" t="s">
        <v>81</v>
      </c>
      <c r="H966" t="s">
        <v>82</v>
      </c>
      <c r="I966" t="s">
        <v>25</v>
      </c>
      <c r="J966" t="s">
        <v>26</v>
      </c>
      <c r="K966">
        <v>3</v>
      </c>
      <c r="L966">
        <v>2499</v>
      </c>
      <c r="M966" s="3">
        <v>0</v>
      </c>
      <c r="N966">
        <v>7497</v>
      </c>
      <c r="O966">
        <v>4800</v>
      </c>
      <c r="P966">
        <v>2697</v>
      </c>
      <c r="Q966" t="s">
        <v>69</v>
      </c>
      <c r="R966" t="s">
        <v>137</v>
      </c>
      <c r="S966">
        <v>3</v>
      </c>
    </row>
    <row r="967" spans="1:19">
      <c r="A967" t="s">
        <v>1312</v>
      </c>
      <c r="B967" s="2">
        <v>45925</v>
      </c>
      <c r="C967" t="s">
        <v>267</v>
      </c>
      <c r="D967" t="s">
        <v>268</v>
      </c>
      <c r="E967" t="s">
        <v>22</v>
      </c>
      <c r="F967">
        <v>35</v>
      </c>
      <c r="G967" t="s">
        <v>141</v>
      </c>
      <c r="H967" t="s">
        <v>142</v>
      </c>
      <c r="I967" t="s">
        <v>43</v>
      </c>
      <c r="J967" t="s">
        <v>49</v>
      </c>
      <c r="K967">
        <v>3</v>
      </c>
      <c r="L967">
        <v>799</v>
      </c>
      <c r="M967" s="3">
        <v>0.1</v>
      </c>
      <c r="N967">
        <v>2157.3000000000002</v>
      </c>
      <c r="O967">
        <v>1350</v>
      </c>
      <c r="P967">
        <v>807.3</v>
      </c>
      <c r="Q967" t="s">
        <v>66</v>
      </c>
      <c r="R967" t="s">
        <v>28</v>
      </c>
      <c r="S967">
        <v>3</v>
      </c>
    </row>
    <row r="968" spans="1:19">
      <c r="A968" t="s">
        <v>1313</v>
      </c>
      <c r="B968" s="2">
        <v>45994</v>
      </c>
      <c r="C968" t="s">
        <v>1039</v>
      </c>
      <c r="D968" t="s">
        <v>333</v>
      </c>
      <c r="E968" t="s">
        <v>22</v>
      </c>
      <c r="F968">
        <v>45</v>
      </c>
      <c r="G968" t="s">
        <v>146</v>
      </c>
      <c r="H968" t="s">
        <v>61</v>
      </c>
      <c r="I968" t="s">
        <v>43</v>
      </c>
      <c r="J968" t="s">
        <v>49</v>
      </c>
      <c r="K968">
        <v>4</v>
      </c>
      <c r="L968">
        <v>799</v>
      </c>
      <c r="M968" s="3">
        <v>0.2</v>
      </c>
      <c r="N968">
        <v>2556.8000000000002</v>
      </c>
      <c r="O968">
        <v>1800</v>
      </c>
      <c r="P968">
        <v>756.8</v>
      </c>
      <c r="Q968" t="s">
        <v>69</v>
      </c>
      <c r="R968" t="s">
        <v>77</v>
      </c>
      <c r="S968">
        <v>2</v>
      </c>
    </row>
    <row r="969" spans="1:19">
      <c r="A969" t="s">
        <v>1314</v>
      </c>
      <c r="B969" s="2">
        <v>45667</v>
      </c>
      <c r="C969" t="s">
        <v>760</v>
      </c>
      <c r="D969" t="s">
        <v>761</v>
      </c>
      <c r="E969" t="s">
        <v>22</v>
      </c>
      <c r="F969">
        <v>19</v>
      </c>
      <c r="G969" t="s">
        <v>93</v>
      </c>
      <c r="H969" t="s">
        <v>94</v>
      </c>
      <c r="I969" t="s">
        <v>75</v>
      </c>
      <c r="J969" t="s">
        <v>106</v>
      </c>
      <c r="K969">
        <v>4</v>
      </c>
      <c r="L969">
        <v>899</v>
      </c>
      <c r="M969" s="3">
        <v>0</v>
      </c>
      <c r="N969">
        <v>3596</v>
      </c>
      <c r="O969">
        <v>2400</v>
      </c>
      <c r="P969">
        <v>1196</v>
      </c>
      <c r="Q969" t="s">
        <v>27</v>
      </c>
      <c r="R969" t="s">
        <v>28</v>
      </c>
      <c r="S969">
        <v>4</v>
      </c>
    </row>
    <row r="970" spans="1:19">
      <c r="A970" t="s">
        <v>1315</v>
      </c>
      <c r="B970" s="2">
        <v>46209</v>
      </c>
      <c r="C970" t="s">
        <v>632</v>
      </c>
      <c r="D970" t="s">
        <v>633</v>
      </c>
      <c r="E970" t="s">
        <v>22</v>
      </c>
      <c r="F970">
        <v>33</v>
      </c>
      <c r="G970" t="s">
        <v>55</v>
      </c>
      <c r="H970" t="s">
        <v>34</v>
      </c>
      <c r="I970" t="s">
        <v>35</v>
      </c>
      <c r="J970" t="s">
        <v>126</v>
      </c>
      <c r="K970">
        <v>1</v>
      </c>
      <c r="L970">
        <v>1499</v>
      </c>
      <c r="M970" s="3">
        <v>0</v>
      </c>
      <c r="N970">
        <v>1499</v>
      </c>
      <c r="O970">
        <v>850</v>
      </c>
      <c r="P970">
        <v>649</v>
      </c>
      <c r="Q970" t="s">
        <v>69</v>
      </c>
      <c r="R970" t="s">
        <v>77</v>
      </c>
      <c r="S970">
        <v>4</v>
      </c>
    </row>
    <row r="971" spans="1:19">
      <c r="A971" t="s">
        <v>1316</v>
      </c>
      <c r="B971" s="2">
        <v>46024</v>
      </c>
      <c r="C971" t="s">
        <v>243</v>
      </c>
      <c r="D971" t="s">
        <v>244</v>
      </c>
      <c r="E971" t="s">
        <v>22</v>
      </c>
      <c r="F971">
        <v>38</v>
      </c>
      <c r="G971" t="s">
        <v>23</v>
      </c>
      <c r="H971" t="s">
        <v>24</v>
      </c>
      <c r="I971" t="s">
        <v>163</v>
      </c>
      <c r="J971" t="s">
        <v>214</v>
      </c>
      <c r="K971">
        <v>4</v>
      </c>
      <c r="L971">
        <v>1499</v>
      </c>
      <c r="M971" s="3">
        <v>0.2</v>
      </c>
      <c r="N971">
        <v>4796.8</v>
      </c>
      <c r="O971">
        <v>3600</v>
      </c>
      <c r="P971">
        <v>1196.8</v>
      </c>
      <c r="Q971" t="s">
        <v>66</v>
      </c>
      <c r="R971" t="s">
        <v>28</v>
      </c>
      <c r="S971">
        <v>1</v>
      </c>
    </row>
    <row r="972" spans="1:19">
      <c r="A972" t="s">
        <v>1317</v>
      </c>
      <c r="B972" s="2">
        <v>46113</v>
      </c>
      <c r="C972" t="s">
        <v>243</v>
      </c>
      <c r="D972" t="s">
        <v>244</v>
      </c>
      <c r="E972" t="s">
        <v>22</v>
      </c>
      <c r="F972">
        <v>38</v>
      </c>
      <c r="G972" t="s">
        <v>23</v>
      </c>
      <c r="H972" t="s">
        <v>24</v>
      </c>
      <c r="I972" t="s">
        <v>35</v>
      </c>
      <c r="J972" t="s">
        <v>136</v>
      </c>
      <c r="K972">
        <v>3</v>
      </c>
      <c r="L972">
        <v>799</v>
      </c>
      <c r="M972" s="3">
        <v>0.05</v>
      </c>
      <c r="N972">
        <v>2277.15</v>
      </c>
      <c r="O972">
        <v>1350</v>
      </c>
      <c r="P972">
        <v>927.15</v>
      </c>
      <c r="Q972" t="s">
        <v>69</v>
      </c>
      <c r="R972" t="s">
        <v>28</v>
      </c>
      <c r="S972">
        <v>1</v>
      </c>
    </row>
    <row r="973" spans="1:19">
      <c r="A973" t="s">
        <v>1318</v>
      </c>
      <c r="B973" s="2">
        <v>45750</v>
      </c>
      <c r="C973" t="s">
        <v>120</v>
      </c>
      <c r="D973" t="s">
        <v>121</v>
      </c>
      <c r="E973" t="s">
        <v>32</v>
      </c>
      <c r="F973">
        <v>35</v>
      </c>
      <c r="G973" t="s">
        <v>93</v>
      </c>
      <c r="H973" t="s">
        <v>94</v>
      </c>
      <c r="I973" t="s">
        <v>117</v>
      </c>
      <c r="J973" t="s">
        <v>118</v>
      </c>
      <c r="K973">
        <v>3</v>
      </c>
      <c r="L973">
        <v>999</v>
      </c>
      <c r="M973" s="3">
        <v>0.05</v>
      </c>
      <c r="N973">
        <v>2847.15</v>
      </c>
      <c r="O973">
        <v>1650</v>
      </c>
      <c r="P973">
        <v>1197.1500000000001</v>
      </c>
      <c r="Q973" t="s">
        <v>50</v>
      </c>
      <c r="R973" t="s">
        <v>28</v>
      </c>
      <c r="S973">
        <v>2</v>
      </c>
    </row>
    <row r="974" spans="1:19">
      <c r="A974" t="s">
        <v>1319</v>
      </c>
      <c r="B974" s="2">
        <v>45945</v>
      </c>
      <c r="C974" t="s">
        <v>97</v>
      </c>
      <c r="D974" t="s">
        <v>98</v>
      </c>
      <c r="E974" t="s">
        <v>22</v>
      </c>
      <c r="F974">
        <v>23</v>
      </c>
      <c r="G974" t="s">
        <v>48</v>
      </c>
      <c r="H974" t="s">
        <v>42</v>
      </c>
      <c r="I974" t="s">
        <v>35</v>
      </c>
      <c r="J974" t="s">
        <v>36</v>
      </c>
      <c r="K974">
        <v>3</v>
      </c>
      <c r="L974">
        <v>599</v>
      </c>
      <c r="M974" s="3">
        <v>0</v>
      </c>
      <c r="N974">
        <v>1797</v>
      </c>
      <c r="O974">
        <v>960</v>
      </c>
      <c r="P974">
        <v>837</v>
      </c>
      <c r="Q974" t="s">
        <v>66</v>
      </c>
      <c r="R974" t="s">
        <v>77</v>
      </c>
      <c r="S974">
        <v>2</v>
      </c>
    </row>
    <row r="975" spans="1:19">
      <c r="A975" t="s">
        <v>1320</v>
      </c>
      <c r="B975" s="2">
        <v>45942</v>
      </c>
      <c r="C975" t="s">
        <v>300</v>
      </c>
      <c r="D975" t="s">
        <v>301</v>
      </c>
      <c r="E975" t="s">
        <v>22</v>
      </c>
      <c r="F975">
        <v>24</v>
      </c>
      <c r="G975" t="s">
        <v>48</v>
      </c>
      <c r="H975" t="s">
        <v>42</v>
      </c>
      <c r="I975" t="s">
        <v>43</v>
      </c>
      <c r="J975" t="s">
        <v>49</v>
      </c>
      <c r="K975">
        <v>4</v>
      </c>
      <c r="L975">
        <v>799</v>
      </c>
      <c r="M975" s="3">
        <v>0</v>
      </c>
      <c r="N975">
        <v>3196</v>
      </c>
      <c r="O975">
        <v>1800</v>
      </c>
      <c r="P975">
        <v>1396</v>
      </c>
      <c r="Q975" t="s">
        <v>50</v>
      </c>
      <c r="R975" t="s">
        <v>28</v>
      </c>
      <c r="S975">
        <v>2</v>
      </c>
    </row>
    <row r="976" spans="1:19">
      <c r="A976" t="s">
        <v>1321</v>
      </c>
      <c r="B976" s="2">
        <v>46260</v>
      </c>
      <c r="C976" t="s">
        <v>705</v>
      </c>
      <c r="D976" t="s">
        <v>98</v>
      </c>
      <c r="E976" t="s">
        <v>32</v>
      </c>
      <c r="F976">
        <v>47</v>
      </c>
      <c r="G976" t="s">
        <v>141</v>
      </c>
      <c r="H976" t="s">
        <v>142</v>
      </c>
      <c r="I976" t="s">
        <v>43</v>
      </c>
      <c r="J976" t="s">
        <v>49</v>
      </c>
      <c r="K976">
        <v>2</v>
      </c>
      <c r="L976">
        <v>799</v>
      </c>
      <c r="M976" s="3">
        <v>0</v>
      </c>
      <c r="N976">
        <v>1598</v>
      </c>
      <c r="O976">
        <v>900</v>
      </c>
      <c r="P976">
        <v>698</v>
      </c>
      <c r="Q976" t="s">
        <v>27</v>
      </c>
      <c r="R976" t="s">
        <v>28</v>
      </c>
      <c r="S976">
        <v>2</v>
      </c>
    </row>
    <row r="977" spans="1:19">
      <c r="A977" t="s">
        <v>1322</v>
      </c>
      <c r="B977" s="2">
        <v>45938</v>
      </c>
      <c r="C977" t="s">
        <v>641</v>
      </c>
      <c r="D977" t="s">
        <v>72</v>
      </c>
      <c r="E977" t="s">
        <v>32</v>
      </c>
      <c r="F977">
        <v>51</v>
      </c>
      <c r="G977" t="s">
        <v>115</v>
      </c>
      <c r="H977" t="s">
        <v>116</v>
      </c>
      <c r="I977" t="s">
        <v>75</v>
      </c>
      <c r="J977" t="s">
        <v>86</v>
      </c>
      <c r="K977">
        <v>2</v>
      </c>
      <c r="L977">
        <v>499</v>
      </c>
      <c r="M977" s="3">
        <v>0.2</v>
      </c>
      <c r="N977">
        <v>798.4</v>
      </c>
      <c r="O977">
        <v>600</v>
      </c>
      <c r="P977">
        <v>198.4</v>
      </c>
      <c r="Q977" t="s">
        <v>27</v>
      </c>
      <c r="R977" t="s">
        <v>137</v>
      </c>
      <c r="S977">
        <v>1</v>
      </c>
    </row>
    <row r="978" spans="1:19">
      <c r="A978" t="s">
        <v>1323</v>
      </c>
      <c r="B978" s="2">
        <v>46122</v>
      </c>
      <c r="C978" t="s">
        <v>58</v>
      </c>
      <c r="D978" t="s">
        <v>59</v>
      </c>
      <c r="E978" t="s">
        <v>32</v>
      </c>
      <c r="F978">
        <v>25</v>
      </c>
      <c r="G978" t="s">
        <v>60</v>
      </c>
      <c r="H978" t="s">
        <v>61</v>
      </c>
      <c r="I978" t="s">
        <v>75</v>
      </c>
      <c r="J978" t="s">
        <v>106</v>
      </c>
      <c r="K978">
        <v>3</v>
      </c>
      <c r="L978">
        <v>899</v>
      </c>
      <c r="M978" s="3">
        <v>0.2</v>
      </c>
      <c r="N978">
        <v>2157.6</v>
      </c>
      <c r="O978">
        <v>1800</v>
      </c>
      <c r="P978">
        <v>357.6</v>
      </c>
      <c r="Q978" t="s">
        <v>69</v>
      </c>
      <c r="R978" t="s">
        <v>77</v>
      </c>
      <c r="S978">
        <v>1</v>
      </c>
    </row>
    <row r="979" spans="1:19">
      <c r="A979" t="s">
        <v>1324</v>
      </c>
      <c r="B979" s="2">
        <v>45782</v>
      </c>
      <c r="C979" t="s">
        <v>110</v>
      </c>
      <c r="D979" t="s">
        <v>111</v>
      </c>
      <c r="E979" t="s">
        <v>22</v>
      </c>
      <c r="F979">
        <v>47</v>
      </c>
      <c r="G979" t="s">
        <v>48</v>
      </c>
      <c r="H979" t="s">
        <v>42</v>
      </c>
      <c r="I979" t="s">
        <v>163</v>
      </c>
      <c r="J979" t="s">
        <v>234</v>
      </c>
      <c r="K979">
        <v>4</v>
      </c>
      <c r="L979">
        <v>999</v>
      </c>
      <c r="M979" s="3">
        <v>0.1</v>
      </c>
      <c r="N979">
        <v>3596.4</v>
      </c>
      <c r="O979">
        <v>2400</v>
      </c>
      <c r="P979">
        <v>1196.4000000000001</v>
      </c>
      <c r="Q979" t="s">
        <v>50</v>
      </c>
      <c r="R979" t="s">
        <v>28</v>
      </c>
      <c r="S979">
        <v>3</v>
      </c>
    </row>
    <row r="980" spans="1:19">
      <c r="A980" t="s">
        <v>1325</v>
      </c>
      <c r="B980" s="2">
        <v>45942</v>
      </c>
      <c r="C980" t="s">
        <v>351</v>
      </c>
      <c r="D980" t="s">
        <v>352</v>
      </c>
      <c r="E980" t="s">
        <v>32</v>
      </c>
      <c r="F980">
        <v>41</v>
      </c>
      <c r="G980" t="s">
        <v>73</v>
      </c>
      <c r="H980" t="s">
        <v>74</v>
      </c>
      <c r="I980" t="s">
        <v>25</v>
      </c>
      <c r="J980" t="s">
        <v>68</v>
      </c>
      <c r="K980">
        <v>2</v>
      </c>
      <c r="L980">
        <v>2999</v>
      </c>
      <c r="M980" s="3">
        <v>0</v>
      </c>
      <c r="N980">
        <v>5998</v>
      </c>
      <c r="O980">
        <v>3800</v>
      </c>
      <c r="P980">
        <v>2198</v>
      </c>
      <c r="Q980" t="s">
        <v>66</v>
      </c>
      <c r="R980" t="s">
        <v>28</v>
      </c>
      <c r="S980">
        <v>3</v>
      </c>
    </row>
    <row r="981" spans="1:19">
      <c r="A981" t="s">
        <v>1326</v>
      </c>
      <c r="B981" s="2">
        <v>45741</v>
      </c>
      <c r="C981" t="s">
        <v>300</v>
      </c>
      <c r="D981" t="s">
        <v>301</v>
      </c>
      <c r="E981" t="s">
        <v>22</v>
      </c>
      <c r="F981">
        <v>24</v>
      </c>
      <c r="G981" t="s">
        <v>48</v>
      </c>
      <c r="H981" t="s">
        <v>42</v>
      </c>
      <c r="I981" t="s">
        <v>163</v>
      </c>
      <c r="J981" t="s">
        <v>290</v>
      </c>
      <c r="K981">
        <v>2</v>
      </c>
      <c r="L981">
        <v>1999</v>
      </c>
      <c r="M981" s="3">
        <v>0.1</v>
      </c>
      <c r="N981">
        <v>3598.2</v>
      </c>
      <c r="O981">
        <v>2400</v>
      </c>
      <c r="P981">
        <v>1198.2</v>
      </c>
      <c r="Q981" t="s">
        <v>50</v>
      </c>
      <c r="R981" t="s">
        <v>137</v>
      </c>
      <c r="S981">
        <v>2</v>
      </c>
    </row>
    <row r="982" spans="1:19">
      <c r="A982" t="s">
        <v>1327</v>
      </c>
      <c r="B982" s="2">
        <v>45826</v>
      </c>
      <c r="C982" t="s">
        <v>100</v>
      </c>
      <c r="D982" t="s">
        <v>101</v>
      </c>
      <c r="E982" t="s">
        <v>32</v>
      </c>
      <c r="F982">
        <v>50</v>
      </c>
      <c r="G982" t="s">
        <v>55</v>
      </c>
      <c r="H982" t="s">
        <v>34</v>
      </c>
      <c r="I982" t="s">
        <v>25</v>
      </c>
      <c r="J982" t="s">
        <v>26</v>
      </c>
      <c r="K982">
        <v>2</v>
      </c>
      <c r="L982">
        <v>2499</v>
      </c>
      <c r="M982" s="3">
        <v>0.05</v>
      </c>
      <c r="N982">
        <v>4748.1000000000004</v>
      </c>
      <c r="O982">
        <v>3200</v>
      </c>
      <c r="P982">
        <v>1548.1</v>
      </c>
      <c r="Q982" t="s">
        <v>37</v>
      </c>
      <c r="R982" t="s">
        <v>28</v>
      </c>
      <c r="S982">
        <v>1</v>
      </c>
    </row>
    <row r="983" spans="1:19">
      <c r="A983" t="s">
        <v>1328</v>
      </c>
      <c r="B983" s="2">
        <v>46264</v>
      </c>
      <c r="C983" t="s">
        <v>186</v>
      </c>
      <c r="D983" t="s">
        <v>187</v>
      </c>
      <c r="E983" t="s">
        <v>22</v>
      </c>
      <c r="F983">
        <v>42</v>
      </c>
      <c r="G983" t="s">
        <v>60</v>
      </c>
      <c r="H983" t="s">
        <v>61</v>
      </c>
      <c r="I983" t="s">
        <v>35</v>
      </c>
      <c r="J983" t="s">
        <v>36</v>
      </c>
      <c r="K983">
        <v>4</v>
      </c>
      <c r="L983">
        <v>599</v>
      </c>
      <c r="M983" s="3">
        <v>0</v>
      </c>
      <c r="N983">
        <v>2396</v>
      </c>
      <c r="O983">
        <v>1280</v>
      </c>
      <c r="P983">
        <v>1116</v>
      </c>
      <c r="Q983" t="s">
        <v>37</v>
      </c>
      <c r="R983" t="s">
        <v>137</v>
      </c>
      <c r="S983">
        <v>2</v>
      </c>
    </row>
    <row r="984" spans="1:19">
      <c r="A984" t="s">
        <v>1329</v>
      </c>
      <c r="B984" s="2">
        <v>45713</v>
      </c>
      <c r="C984" t="s">
        <v>453</v>
      </c>
      <c r="D984" t="s">
        <v>454</v>
      </c>
      <c r="E984" t="s">
        <v>32</v>
      </c>
      <c r="F984">
        <v>25</v>
      </c>
      <c r="G984" t="s">
        <v>141</v>
      </c>
      <c r="H984" t="s">
        <v>142</v>
      </c>
      <c r="I984" t="s">
        <v>35</v>
      </c>
      <c r="J984" t="s">
        <v>36</v>
      </c>
      <c r="K984">
        <v>2</v>
      </c>
      <c r="L984">
        <v>599</v>
      </c>
      <c r="M984" s="3">
        <v>0.1</v>
      </c>
      <c r="N984">
        <v>1078.2</v>
      </c>
      <c r="O984">
        <v>640</v>
      </c>
      <c r="P984">
        <v>438.2</v>
      </c>
      <c r="Q984" t="s">
        <v>37</v>
      </c>
      <c r="R984" t="s">
        <v>28</v>
      </c>
      <c r="S984">
        <v>2</v>
      </c>
    </row>
    <row r="985" spans="1:19">
      <c r="A985" t="s">
        <v>1330</v>
      </c>
      <c r="B985" s="2">
        <v>46115</v>
      </c>
      <c r="C985" t="s">
        <v>261</v>
      </c>
      <c r="D985" t="s">
        <v>262</v>
      </c>
      <c r="E985" t="s">
        <v>22</v>
      </c>
      <c r="F985">
        <v>54</v>
      </c>
      <c r="G985" t="s">
        <v>60</v>
      </c>
      <c r="H985" t="s">
        <v>61</v>
      </c>
      <c r="I985" t="s">
        <v>75</v>
      </c>
      <c r="J985" t="s">
        <v>106</v>
      </c>
      <c r="K985">
        <v>4</v>
      </c>
      <c r="L985">
        <v>899</v>
      </c>
      <c r="M985" s="3">
        <v>0</v>
      </c>
      <c r="N985">
        <v>3596</v>
      </c>
      <c r="O985">
        <v>2400</v>
      </c>
      <c r="P985">
        <v>1196</v>
      </c>
      <c r="Q985" t="s">
        <v>50</v>
      </c>
      <c r="R985" t="s">
        <v>28</v>
      </c>
      <c r="S985">
        <v>1</v>
      </c>
    </row>
    <row r="986" spans="1:19">
      <c r="A986" t="s">
        <v>1331</v>
      </c>
      <c r="B986" s="2">
        <v>45788</v>
      </c>
      <c r="C986" t="s">
        <v>236</v>
      </c>
      <c r="D986" t="s">
        <v>237</v>
      </c>
      <c r="E986" t="s">
        <v>32</v>
      </c>
      <c r="F986">
        <v>34</v>
      </c>
      <c r="G986" t="s">
        <v>180</v>
      </c>
      <c r="H986" t="s">
        <v>181</v>
      </c>
      <c r="I986" t="s">
        <v>163</v>
      </c>
      <c r="J986" t="s">
        <v>290</v>
      </c>
      <c r="K986">
        <v>3</v>
      </c>
      <c r="L986">
        <v>1999</v>
      </c>
      <c r="M986" s="3">
        <v>0</v>
      </c>
      <c r="N986">
        <v>5997</v>
      </c>
      <c r="O986">
        <v>3600</v>
      </c>
      <c r="P986">
        <v>2397</v>
      </c>
      <c r="Q986" t="s">
        <v>69</v>
      </c>
      <c r="R986" t="s">
        <v>77</v>
      </c>
      <c r="S986">
        <v>4</v>
      </c>
    </row>
    <row r="987" spans="1:19">
      <c r="A987" t="s">
        <v>1332</v>
      </c>
      <c r="B987" s="2">
        <v>45762</v>
      </c>
      <c r="C987" t="s">
        <v>384</v>
      </c>
      <c r="D987" t="s">
        <v>385</v>
      </c>
      <c r="E987" t="s">
        <v>32</v>
      </c>
      <c r="F987">
        <v>22</v>
      </c>
      <c r="G987" t="s">
        <v>48</v>
      </c>
      <c r="H987" t="s">
        <v>42</v>
      </c>
      <c r="I987" t="s">
        <v>43</v>
      </c>
      <c r="J987" t="s">
        <v>44</v>
      </c>
      <c r="K987">
        <v>4</v>
      </c>
      <c r="L987">
        <v>1599</v>
      </c>
      <c r="M987" s="3">
        <v>0</v>
      </c>
      <c r="N987">
        <v>6396</v>
      </c>
      <c r="O987">
        <v>3800</v>
      </c>
      <c r="P987">
        <v>2596</v>
      </c>
      <c r="Q987" t="s">
        <v>69</v>
      </c>
      <c r="R987" t="s">
        <v>28</v>
      </c>
      <c r="S987">
        <v>3</v>
      </c>
    </row>
    <row r="988" spans="1:19">
      <c r="A988" t="s">
        <v>1333</v>
      </c>
      <c r="B988" s="2">
        <v>46078</v>
      </c>
      <c r="C988" t="s">
        <v>192</v>
      </c>
      <c r="D988" t="s">
        <v>193</v>
      </c>
      <c r="E988" t="s">
        <v>32</v>
      </c>
      <c r="F988">
        <v>47</v>
      </c>
      <c r="G988" t="s">
        <v>93</v>
      </c>
      <c r="H988" t="s">
        <v>94</v>
      </c>
      <c r="I988" t="s">
        <v>163</v>
      </c>
      <c r="J988" t="s">
        <v>290</v>
      </c>
      <c r="K988">
        <v>1</v>
      </c>
      <c r="L988">
        <v>1999</v>
      </c>
      <c r="M988" s="3">
        <v>0.2</v>
      </c>
      <c r="N988">
        <v>1599.2</v>
      </c>
      <c r="O988">
        <v>1200</v>
      </c>
      <c r="P988">
        <v>399.2</v>
      </c>
      <c r="Q988" t="s">
        <v>27</v>
      </c>
      <c r="R988" t="s">
        <v>137</v>
      </c>
      <c r="S988">
        <v>1</v>
      </c>
    </row>
    <row r="989" spans="1:19">
      <c r="A989" t="s">
        <v>1334</v>
      </c>
      <c r="B989" s="2">
        <v>45761</v>
      </c>
      <c r="C989" t="s">
        <v>161</v>
      </c>
      <c r="D989" t="s">
        <v>162</v>
      </c>
      <c r="E989" t="s">
        <v>22</v>
      </c>
      <c r="F989">
        <v>44</v>
      </c>
      <c r="G989" t="s">
        <v>146</v>
      </c>
      <c r="H989" t="s">
        <v>61</v>
      </c>
      <c r="I989" t="s">
        <v>163</v>
      </c>
      <c r="J989" t="s">
        <v>290</v>
      </c>
      <c r="K989">
        <v>4</v>
      </c>
      <c r="L989">
        <v>1999</v>
      </c>
      <c r="M989" s="3">
        <v>0.15</v>
      </c>
      <c r="N989">
        <v>6796.6</v>
      </c>
      <c r="O989">
        <v>4800</v>
      </c>
      <c r="P989">
        <v>1996.6</v>
      </c>
      <c r="Q989" t="s">
        <v>37</v>
      </c>
      <c r="R989" t="s">
        <v>28</v>
      </c>
      <c r="S989">
        <v>1</v>
      </c>
    </row>
    <row r="990" spans="1:19">
      <c r="A990" t="s">
        <v>1335</v>
      </c>
      <c r="B990" s="2">
        <v>45855</v>
      </c>
      <c r="C990" t="s">
        <v>161</v>
      </c>
      <c r="D990" t="s">
        <v>162</v>
      </c>
      <c r="E990" t="s">
        <v>22</v>
      </c>
      <c r="F990">
        <v>44</v>
      </c>
      <c r="G990" t="s">
        <v>146</v>
      </c>
      <c r="H990" t="s">
        <v>61</v>
      </c>
      <c r="I990" t="s">
        <v>35</v>
      </c>
      <c r="J990" t="s">
        <v>108</v>
      </c>
      <c r="K990">
        <v>3</v>
      </c>
      <c r="L990">
        <v>699</v>
      </c>
      <c r="M990" s="3">
        <v>0.2</v>
      </c>
      <c r="N990">
        <v>1677.6</v>
      </c>
      <c r="O990">
        <v>1140</v>
      </c>
      <c r="P990">
        <v>537.6</v>
      </c>
      <c r="Q990" t="s">
        <v>69</v>
      </c>
      <c r="R990" t="s">
        <v>28</v>
      </c>
      <c r="S990">
        <v>5</v>
      </c>
    </row>
    <row r="991" spans="1:19">
      <c r="A991" t="s">
        <v>1336</v>
      </c>
      <c r="B991" s="2">
        <v>45787</v>
      </c>
      <c r="C991" t="s">
        <v>670</v>
      </c>
      <c r="D991" t="s">
        <v>671</v>
      </c>
      <c r="E991" t="s">
        <v>22</v>
      </c>
      <c r="F991">
        <v>38</v>
      </c>
      <c r="G991" t="s">
        <v>180</v>
      </c>
      <c r="H991" t="s">
        <v>181</v>
      </c>
      <c r="I991" t="s">
        <v>75</v>
      </c>
      <c r="J991" t="s">
        <v>86</v>
      </c>
      <c r="K991">
        <v>2</v>
      </c>
      <c r="L991">
        <v>499</v>
      </c>
      <c r="M991" s="3">
        <v>0.2</v>
      </c>
      <c r="N991">
        <v>798.4</v>
      </c>
      <c r="O991">
        <v>600</v>
      </c>
      <c r="P991">
        <v>198.4</v>
      </c>
      <c r="Q991" t="s">
        <v>50</v>
      </c>
      <c r="R991" t="s">
        <v>28</v>
      </c>
      <c r="S991">
        <v>4</v>
      </c>
    </row>
    <row r="992" spans="1:19">
      <c r="A992" t="s">
        <v>1337</v>
      </c>
      <c r="B992" s="2">
        <v>45906</v>
      </c>
      <c r="C992" t="s">
        <v>148</v>
      </c>
      <c r="D992" t="s">
        <v>47</v>
      </c>
      <c r="E992" t="s">
        <v>22</v>
      </c>
      <c r="F992">
        <v>23</v>
      </c>
      <c r="G992" t="s">
        <v>93</v>
      </c>
      <c r="H992" t="s">
        <v>94</v>
      </c>
      <c r="I992" t="s">
        <v>117</v>
      </c>
      <c r="J992" t="s">
        <v>152</v>
      </c>
      <c r="K992">
        <v>4</v>
      </c>
      <c r="L992">
        <v>899</v>
      </c>
      <c r="M992" s="3">
        <v>0.05</v>
      </c>
      <c r="N992">
        <v>3416.2</v>
      </c>
      <c r="O992">
        <v>2000</v>
      </c>
      <c r="P992">
        <v>1416.2</v>
      </c>
      <c r="Q992" t="s">
        <v>27</v>
      </c>
      <c r="R992" t="s">
        <v>137</v>
      </c>
      <c r="S992">
        <v>1</v>
      </c>
    </row>
    <row r="993" spans="1:19">
      <c r="A993" t="s">
        <v>1338</v>
      </c>
      <c r="B993" s="2">
        <v>46024</v>
      </c>
      <c r="C993" t="s">
        <v>169</v>
      </c>
      <c r="D993" t="s">
        <v>170</v>
      </c>
      <c r="E993" t="s">
        <v>32</v>
      </c>
      <c r="F993">
        <v>37</v>
      </c>
      <c r="G993" t="s">
        <v>60</v>
      </c>
      <c r="H993" t="s">
        <v>61</v>
      </c>
      <c r="I993" t="s">
        <v>43</v>
      </c>
      <c r="J993" t="s">
        <v>44</v>
      </c>
      <c r="K993">
        <v>4</v>
      </c>
      <c r="L993">
        <v>1599</v>
      </c>
      <c r="M993" s="3">
        <v>0.2</v>
      </c>
      <c r="N993">
        <v>5116.8</v>
      </c>
      <c r="O993">
        <v>3800</v>
      </c>
      <c r="P993">
        <v>1316.8</v>
      </c>
      <c r="Q993" t="s">
        <v>37</v>
      </c>
      <c r="R993" t="s">
        <v>28</v>
      </c>
      <c r="S993">
        <v>5</v>
      </c>
    </row>
    <row r="994" spans="1:19">
      <c r="A994" t="s">
        <v>1339</v>
      </c>
      <c r="B994" s="2">
        <v>46009</v>
      </c>
      <c r="C994" t="s">
        <v>354</v>
      </c>
      <c r="D994" t="s">
        <v>339</v>
      </c>
      <c r="E994" t="s">
        <v>32</v>
      </c>
      <c r="F994">
        <v>25</v>
      </c>
      <c r="G994" t="s">
        <v>115</v>
      </c>
      <c r="H994" t="s">
        <v>116</v>
      </c>
      <c r="I994" t="s">
        <v>25</v>
      </c>
      <c r="J994" t="s">
        <v>62</v>
      </c>
      <c r="K994">
        <v>4</v>
      </c>
      <c r="L994">
        <v>1299</v>
      </c>
      <c r="M994" s="3">
        <v>0.1</v>
      </c>
      <c r="N994">
        <v>4676.3999999999996</v>
      </c>
      <c r="O994">
        <v>3200</v>
      </c>
      <c r="P994">
        <v>1476.4</v>
      </c>
      <c r="Q994" t="s">
        <v>37</v>
      </c>
      <c r="R994" t="s">
        <v>28</v>
      </c>
      <c r="S994">
        <v>1</v>
      </c>
    </row>
    <row r="995" spans="1:19">
      <c r="A995" t="s">
        <v>1340</v>
      </c>
      <c r="B995" s="2">
        <v>45901</v>
      </c>
      <c r="C995" t="s">
        <v>351</v>
      </c>
      <c r="D995" t="s">
        <v>352</v>
      </c>
      <c r="E995" t="s">
        <v>32</v>
      </c>
      <c r="F995">
        <v>41</v>
      </c>
      <c r="G995" t="s">
        <v>73</v>
      </c>
      <c r="H995" t="s">
        <v>74</v>
      </c>
      <c r="I995" t="s">
        <v>75</v>
      </c>
      <c r="J995" t="s">
        <v>86</v>
      </c>
      <c r="K995">
        <v>2</v>
      </c>
      <c r="L995">
        <v>499</v>
      </c>
      <c r="M995" s="3">
        <v>0</v>
      </c>
      <c r="N995">
        <v>998</v>
      </c>
      <c r="O995">
        <v>600</v>
      </c>
      <c r="P995">
        <v>398</v>
      </c>
      <c r="Q995" t="s">
        <v>50</v>
      </c>
      <c r="R995" t="s">
        <v>137</v>
      </c>
      <c r="S995">
        <v>1</v>
      </c>
    </row>
    <row r="996" spans="1:19">
      <c r="A996" t="s">
        <v>1341</v>
      </c>
      <c r="B996" s="2">
        <v>45864</v>
      </c>
      <c r="C996" t="s">
        <v>100</v>
      </c>
      <c r="D996" t="s">
        <v>101</v>
      </c>
      <c r="E996" t="s">
        <v>32</v>
      </c>
      <c r="F996">
        <v>50</v>
      </c>
      <c r="G996" t="s">
        <v>55</v>
      </c>
      <c r="H996" t="s">
        <v>34</v>
      </c>
      <c r="I996" t="s">
        <v>163</v>
      </c>
      <c r="J996" t="s">
        <v>214</v>
      </c>
      <c r="K996">
        <v>2</v>
      </c>
      <c r="L996">
        <v>1499</v>
      </c>
      <c r="M996" s="3">
        <v>0.05</v>
      </c>
      <c r="N996">
        <v>2848.1</v>
      </c>
      <c r="O996">
        <v>1800</v>
      </c>
      <c r="P996">
        <v>1048.0999999999999</v>
      </c>
      <c r="Q996" t="s">
        <v>69</v>
      </c>
      <c r="R996" t="s">
        <v>28</v>
      </c>
      <c r="S996">
        <v>4</v>
      </c>
    </row>
    <row r="997" spans="1:19">
      <c r="A997" t="s">
        <v>1342</v>
      </c>
      <c r="B997" s="2">
        <v>46237</v>
      </c>
      <c r="C997" t="s">
        <v>1185</v>
      </c>
      <c r="D997" t="s">
        <v>437</v>
      </c>
      <c r="E997" t="s">
        <v>22</v>
      </c>
      <c r="F997">
        <v>49</v>
      </c>
      <c r="G997" t="s">
        <v>23</v>
      </c>
      <c r="H997" t="s">
        <v>24</v>
      </c>
      <c r="I997" t="s">
        <v>75</v>
      </c>
      <c r="J997" t="s">
        <v>106</v>
      </c>
      <c r="K997">
        <v>3</v>
      </c>
      <c r="L997">
        <v>899</v>
      </c>
      <c r="M997" s="3">
        <v>0.2</v>
      </c>
      <c r="N997">
        <v>2157.6</v>
      </c>
      <c r="O997">
        <v>1800</v>
      </c>
      <c r="P997">
        <v>357.6</v>
      </c>
      <c r="Q997" t="s">
        <v>37</v>
      </c>
      <c r="R997" t="s">
        <v>28</v>
      </c>
      <c r="S997">
        <v>4</v>
      </c>
    </row>
    <row r="998" spans="1:19">
      <c r="A998" t="s">
        <v>1343</v>
      </c>
      <c r="B998" s="2">
        <v>45701</v>
      </c>
      <c r="C998" t="s">
        <v>247</v>
      </c>
      <c r="D998" t="s">
        <v>248</v>
      </c>
      <c r="E998" t="s">
        <v>32</v>
      </c>
      <c r="F998">
        <v>35</v>
      </c>
      <c r="G998" t="s">
        <v>33</v>
      </c>
      <c r="H998" t="s">
        <v>34</v>
      </c>
      <c r="I998" t="s">
        <v>43</v>
      </c>
      <c r="J998" t="s">
        <v>95</v>
      </c>
      <c r="K998">
        <v>1</v>
      </c>
      <c r="L998">
        <v>2499</v>
      </c>
      <c r="M998" s="3">
        <v>0.15</v>
      </c>
      <c r="N998">
        <v>2124.15</v>
      </c>
      <c r="O998">
        <v>1500</v>
      </c>
      <c r="P998">
        <v>624.15</v>
      </c>
      <c r="Q998" t="s">
        <v>66</v>
      </c>
      <c r="R998" t="s">
        <v>28</v>
      </c>
      <c r="S998">
        <v>1</v>
      </c>
    </row>
    <row r="999" spans="1:19">
      <c r="A999" t="s">
        <v>1344</v>
      </c>
      <c r="B999" s="2">
        <v>45876</v>
      </c>
      <c r="C999" t="s">
        <v>479</v>
      </c>
      <c r="D999" t="s">
        <v>480</v>
      </c>
      <c r="E999" t="s">
        <v>22</v>
      </c>
      <c r="F999">
        <v>29</v>
      </c>
      <c r="G999" t="s">
        <v>146</v>
      </c>
      <c r="H999" t="s">
        <v>61</v>
      </c>
      <c r="I999" t="s">
        <v>117</v>
      </c>
      <c r="J999" t="s">
        <v>238</v>
      </c>
      <c r="K999">
        <v>2</v>
      </c>
      <c r="L999">
        <v>2499</v>
      </c>
      <c r="M999" s="3">
        <v>0.15</v>
      </c>
      <c r="N999">
        <v>4248.3</v>
      </c>
      <c r="O999">
        <v>3000</v>
      </c>
      <c r="P999">
        <v>1248.3</v>
      </c>
      <c r="Q999" t="s">
        <v>27</v>
      </c>
      <c r="R999" t="s">
        <v>28</v>
      </c>
      <c r="S999">
        <v>3</v>
      </c>
    </row>
    <row r="1000" spans="1:19">
      <c r="A1000" t="s">
        <v>1345</v>
      </c>
      <c r="B1000" s="2">
        <v>45664</v>
      </c>
      <c r="C1000" t="s">
        <v>516</v>
      </c>
      <c r="D1000" t="s">
        <v>449</v>
      </c>
      <c r="E1000" t="s">
        <v>22</v>
      </c>
      <c r="F1000">
        <v>45</v>
      </c>
      <c r="G1000" t="s">
        <v>41</v>
      </c>
      <c r="H1000" t="s">
        <v>42</v>
      </c>
      <c r="I1000" t="s">
        <v>43</v>
      </c>
      <c r="J1000" t="s">
        <v>49</v>
      </c>
      <c r="K1000">
        <v>4</v>
      </c>
      <c r="L1000">
        <v>799</v>
      </c>
      <c r="M1000" s="3">
        <v>0.05</v>
      </c>
      <c r="N1000">
        <v>3036.2</v>
      </c>
      <c r="O1000">
        <v>1800</v>
      </c>
      <c r="P1000">
        <v>1236.2</v>
      </c>
      <c r="Q1000" t="s">
        <v>37</v>
      </c>
      <c r="R1000" t="s">
        <v>28</v>
      </c>
      <c r="S1000">
        <v>3</v>
      </c>
    </row>
    <row r="1001" spans="1:19">
      <c r="A1001" t="s">
        <v>1346</v>
      </c>
      <c r="B1001" s="2">
        <v>45955</v>
      </c>
      <c r="C1001" t="s">
        <v>186</v>
      </c>
      <c r="D1001" t="s">
        <v>187</v>
      </c>
      <c r="E1001" t="s">
        <v>22</v>
      </c>
      <c r="F1001">
        <v>42</v>
      </c>
      <c r="G1001" t="s">
        <v>60</v>
      </c>
      <c r="H1001" t="s">
        <v>61</v>
      </c>
      <c r="I1001" t="s">
        <v>35</v>
      </c>
      <c r="J1001" t="s">
        <v>126</v>
      </c>
      <c r="K1001">
        <v>1</v>
      </c>
      <c r="L1001">
        <v>1499</v>
      </c>
      <c r="M1001" s="3">
        <v>0.05</v>
      </c>
      <c r="N1001">
        <v>1424.05</v>
      </c>
      <c r="O1001">
        <v>850</v>
      </c>
      <c r="P1001">
        <v>574.04999999999995</v>
      </c>
      <c r="Q1001" t="s">
        <v>66</v>
      </c>
      <c r="R1001" t="s">
        <v>28</v>
      </c>
      <c r="S1001">
        <v>5</v>
      </c>
    </row>
  </sheetData>
  <autoFilter ref="A1:S100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4.5"/>
  <sheetData>
    <row r="1" spans="1:2">
      <c r="A1" t="s">
        <v>1347</v>
      </c>
    </row>
    <row r="3" spans="1:2">
      <c r="A3" t="s">
        <v>1348</v>
      </c>
      <c r="B3" t="s">
        <v>1349</v>
      </c>
    </row>
    <row r="4" spans="1:2">
      <c r="A4" t="s">
        <v>1350</v>
      </c>
      <c r="B4" t="s">
        <v>1351</v>
      </c>
    </row>
    <row r="5" spans="1:2">
      <c r="A5" t="s">
        <v>1352</v>
      </c>
      <c r="B5" t="s">
        <v>1353</v>
      </c>
    </row>
    <row r="7" spans="1:2">
      <c r="A7" t="s">
        <v>1354</v>
      </c>
      <c r="B7" t="s">
        <v>1355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62"/>
  <sheetViews>
    <sheetView topLeftCell="A7" workbookViewId="0">
      <selection activeCell="A13" sqref="A13:B24"/>
    </sheetView>
  </sheetViews>
  <sheetFormatPr defaultRowHeight="14.5"/>
  <cols>
    <col min="1" max="1" width="22.7265625" customWidth="1"/>
    <col min="2" max="2" width="10.81640625" bestFit="1" customWidth="1"/>
    <col min="6" max="6" width="14.7265625" customWidth="1"/>
    <col min="11" max="11" width="20.7265625" customWidth="1"/>
    <col min="16" max="16" width="17.6328125" customWidth="1"/>
    <col min="17" max="17" width="18.6328125" customWidth="1"/>
    <col min="18" max="18" width="14.6328125" customWidth="1"/>
    <col min="19" max="19" width="13.6328125" customWidth="1"/>
  </cols>
  <sheetData>
    <row r="1" spans="1:20">
      <c r="A1" t="s">
        <v>1356</v>
      </c>
    </row>
    <row r="3" spans="1:20">
      <c r="A3" t="s">
        <v>1357</v>
      </c>
      <c r="B3">
        <f>SUM(SalesData[Sales])</f>
        <v>3393804.9499999979</v>
      </c>
    </row>
    <row r="4" spans="1:20">
      <c r="A4" t="s">
        <v>1358</v>
      </c>
      <c r="B4">
        <f>COUNTA(SalesData[Order_ID])</f>
        <v>1000</v>
      </c>
    </row>
    <row r="5" spans="1:20">
      <c r="A5" t="s">
        <v>1359</v>
      </c>
      <c r="B5">
        <f>SUM(SalesData[Profit])</f>
        <v>1113524.9500000011</v>
      </c>
    </row>
    <row r="6" spans="1:20">
      <c r="A6" t="s">
        <v>1360</v>
      </c>
      <c r="B6">
        <f>SUMPRODUCT((SalesData[Customer_ID]&lt;&gt;"")/COUNTIF(SalesData[Customer_ID],SalesData[Customer_ID]&amp;""))</f>
        <v>149.99999999999983</v>
      </c>
    </row>
    <row r="7" spans="1:20">
      <c r="A7" t="s">
        <v>1361</v>
      </c>
      <c r="B7" s="6">
        <f>B3/B4</f>
        <v>3393.8049499999979</v>
      </c>
    </row>
    <row r="8" spans="1:20">
      <c r="A8" t="s">
        <v>1362</v>
      </c>
      <c r="B8" s="5">
        <f>B5/B3</f>
        <v>0.32810516998037903</v>
      </c>
    </row>
    <row r="11" spans="1:20">
      <c r="A11" t="s">
        <v>1363</v>
      </c>
      <c r="F11" t="s">
        <v>1380</v>
      </c>
      <c r="K11" t="s">
        <v>1385</v>
      </c>
      <c r="P11" t="s">
        <v>1386</v>
      </c>
    </row>
    <row r="12" spans="1:20">
      <c r="A12" t="s">
        <v>1364</v>
      </c>
      <c r="B12" t="s">
        <v>13</v>
      </c>
      <c r="C12" t="s">
        <v>15</v>
      </c>
      <c r="D12" t="s">
        <v>1365</v>
      </c>
      <c r="F12" t="s">
        <v>7</v>
      </c>
      <c r="G12" t="s">
        <v>13</v>
      </c>
      <c r="H12" t="s">
        <v>15</v>
      </c>
      <c r="I12" t="s">
        <v>1365</v>
      </c>
      <c r="K12" t="s">
        <v>9</v>
      </c>
      <c r="L12" t="s">
        <v>13</v>
      </c>
      <c r="M12" t="s">
        <v>15</v>
      </c>
      <c r="N12" t="s">
        <v>1365</v>
      </c>
      <c r="P12" t="s">
        <v>1387</v>
      </c>
      <c r="Q12" t="s">
        <v>1388</v>
      </c>
      <c r="R12" t="s">
        <v>1357</v>
      </c>
      <c r="S12" t="s">
        <v>1359</v>
      </c>
      <c r="T12" t="s">
        <v>1365</v>
      </c>
    </row>
    <row r="13" spans="1:20">
      <c r="A13" t="s">
        <v>1366</v>
      </c>
      <c r="B13">
        <f>SUMPRODUCT((MONTH(SalesData[Order_Date])=ROW()-12)*SalesData[Sales])</f>
        <v>331524.34999999998</v>
      </c>
      <c r="C13">
        <f>SUMPRODUCT((TEXT(SalesData[Order_Date],"mmm")=A13)*SalesData[Profit])</f>
        <v>109384.34999999999</v>
      </c>
      <c r="D13">
        <f>SUMPRODUCT(--(TEXT(SalesData[Order_Date],"mmm")=A13))</f>
        <v>97</v>
      </c>
      <c r="F13" t="s">
        <v>61</v>
      </c>
      <c r="G13">
        <f>SUMIF(SalesData[State],F13,SalesData[Sales])</f>
        <v>428299.99999999994</v>
      </c>
      <c r="H13">
        <f>SUMIF(SalesData[State],F13,SalesData[Profit])</f>
        <v>139159.99999999994</v>
      </c>
      <c r="I13">
        <f>COUNTIF(SalesData[State],F13)</f>
        <v>116</v>
      </c>
      <c r="K13" t="s">
        <v>164</v>
      </c>
      <c r="L13">
        <f>SUMIF(SalesData[Product],K13,SalesData[Sales])</f>
        <v>339752.89999999997</v>
      </c>
      <c r="M13">
        <f>SUMIF(SalesData[Product],K13,SalesData[Profit])</f>
        <v>104352.90000000002</v>
      </c>
      <c r="N13">
        <f>COUNTIF(SalesData[Product],K13)</f>
        <v>43</v>
      </c>
      <c r="P13" t="str">
        <f>"CUST"&amp;TEXT(ROW()-12,"000")</f>
        <v>CUST001</v>
      </c>
      <c r="Q13" t="str">
        <f>INDEX(SalesData[Customer_Name],MATCH(P13,SalesData[Customer_ID],0))</f>
        <v>Arjun Verma</v>
      </c>
      <c r="R13">
        <f>SUMIF(SalesData[Customer_ID],P13,SalesData[Sales])</f>
        <v>15740.3</v>
      </c>
      <c r="S13">
        <f>SUMIF(SalesData[Customer_ID],P13,SalesData[Profit])</f>
        <v>5090.3</v>
      </c>
      <c r="T13">
        <f>COUNTIF(SalesData[Customer_ID],P13)</f>
        <v>3</v>
      </c>
    </row>
    <row r="14" spans="1:20">
      <c r="A14" t="s">
        <v>1367</v>
      </c>
      <c r="B14">
        <f>SUMPRODUCT((MONTH(SalesData[Order_Date])=ROW()-12)*SalesData[Sales])</f>
        <v>323925.9499999999</v>
      </c>
      <c r="C14">
        <f>SUMPRODUCT((TEXT(SalesData[Order_Date],"mmm")=A14)*SalesData[Profit])</f>
        <v>109435.95000000001</v>
      </c>
      <c r="D14">
        <f>SUMPRODUCT(--(TEXT(SalesData[Order_Date],"mmm")=A14))</f>
        <v>94</v>
      </c>
      <c r="F14" t="s">
        <v>251</v>
      </c>
      <c r="G14">
        <f>SUMIF(SalesData[State],F14,SalesData[Sales])</f>
        <v>45191.9</v>
      </c>
      <c r="H14">
        <f>SUMIF(SalesData[State],F14,SalesData[Profit])</f>
        <v>14901.899999999998</v>
      </c>
      <c r="I14">
        <f>COUNTIF(SalesData[State],F14)</f>
        <v>14</v>
      </c>
      <c r="K14" t="s">
        <v>68</v>
      </c>
      <c r="L14">
        <f>SUMIF(SalesData[Product],K14,SalesData[Sales])</f>
        <v>263012.3</v>
      </c>
      <c r="M14">
        <f>SUMIF(SalesData[Product],K14,SalesData[Profit])</f>
        <v>82512.300000000017</v>
      </c>
      <c r="N14">
        <f>COUNTIF(SalesData[Product],K14)</f>
        <v>38</v>
      </c>
      <c r="P14" t="str">
        <f t="shared" ref="P14:P77" si="0">"CUST"&amp;TEXT(ROW()-12,"000")</f>
        <v>CUST002</v>
      </c>
      <c r="Q14" t="str">
        <f>INDEX(SalesData[Customer_Name],MATCH(P14,SalesData[Customer_ID],0))</f>
        <v>Riya Singh</v>
      </c>
      <c r="R14">
        <f>SUMIF(SalesData[Customer_ID],P14,SalesData[Sales])</f>
        <v>22221.750000000004</v>
      </c>
      <c r="S14">
        <f>SUMIF(SalesData[Customer_ID],P14,SalesData[Profit])</f>
        <v>7651.7499999999991</v>
      </c>
      <c r="T14">
        <f>COUNTIF(SalesData[Customer_ID],P14)</f>
        <v>7</v>
      </c>
    </row>
    <row r="15" spans="1:20">
      <c r="A15" t="s">
        <v>1368</v>
      </c>
      <c r="B15">
        <f>SUMPRODUCT((MONTH(SalesData[Order_Date])=ROW()-12)*SalesData[Sales])</f>
        <v>343384.05</v>
      </c>
      <c r="C15">
        <f>SUMPRODUCT((TEXT(SalesData[Order_Date],"mmm")=A15)*SalesData[Profit])</f>
        <v>113364.04999999999</v>
      </c>
      <c r="D15">
        <f>SUMPRODUCT(--(TEXT(SalesData[Order_Date],"mmm")=A15))</f>
        <v>97</v>
      </c>
      <c r="F15" t="s">
        <v>42</v>
      </c>
      <c r="G15">
        <f>SUMIF(SalesData[State],F15,SalesData[Sales])</f>
        <v>758386.49999999965</v>
      </c>
      <c r="H15">
        <f>SUMIF(SalesData[State],F15,SalesData[Profit])</f>
        <v>251506.50000000015</v>
      </c>
      <c r="I15">
        <f>COUNTIF(SalesData[State],F15)</f>
        <v>209</v>
      </c>
      <c r="K15" t="s">
        <v>26</v>
      </c>
      <c r="L15">
        <f>SUMIF(SalesData[Product],K15,SalesData[Sales])</f>
        <v>224410.19999999998</v>
      </c>
      <c r="M15">
        <f>SUMIF(SalesData[Product],K15,SalesData[Profit])</f>
        <v>66010.200000000012</v>
      </c>
      <c r="N15">
        <f>COUNTIF(SalesData[Product],K15)</f>
        <v>36</v>
      </c>
      <c r="P15" t="str">
        <f t="shared" si="0"/>
        <v>CUST003</v>
      </c>
      <c r="Q15" t="str">
        <f>INDEX(SalesData[Customer_Name],MATCH(P15,SalesData[Customer_ID],0))</f>
        <v>Rahul Singh</v>
      </c>
      <c r="R15">
        <f>SUMIF(SalesData[Customer_ID],P15,SalesData[Sales])</f>
        <v>4591.3500000000004</v>
      </c>
      <c r="S15">
        <f>SUMIF(SalesData[Customer_ID],P15,SalesData[Profit])</f>
        <v>1921.3500000000001</v>
      </c>
      <c r="T15">
        <f>COUNTIF(SalesData[Customer_ID],P15)</f>
        <v>3</v>
      </c>
    </row>
    <row r="16" spans="1:20">
      <c r="A16" t="s">
        <v>1369</v>
      </c>
      <c r="B16">
        <f>SUMPRODUCT((MONTH(SalesData[Order_Date])=ROW()-12)*SalesData[Sales])</f>
        <v>394023.15000000008</v>
      </c>
      <c r="C16">
        <f>SUMPRODUCT((TEXT(SalesData[Order_Date],"mmm")=A16)*SalesData[Profit])</f>
        <v>131133.14999999997</v>
      </c>
      <c r="D16">
        <f>SUMPRODUCT(--(TEXT(SalesData[Order_Date],"mmm")=A16))</f>
        <v>121</v>
      </c>
      <c r="F16" t="s">
        <v>34</v>
      </c>
      <c r="G16">
        <f>SUMIF(SalesData[State],F16,SalesData[Sales])</f>
        <v>379622.59999999992</v>
      </c>
      <c r="H16">
        <f>SUMIF(SalesData[State],F16,SalesData[Profit])</f>
        <v>127522.60000000005</v>
      </c>
      <c r="I16">
        <f>COUNTIF(SalesData[State],F16)</f>
        <v>117</v>
      </c>
      <c r="K16" t="s">
        <v>281</v>
      </c>
      <c r="L16">
        <f>SUMIF(SalesData[Product],K16,SalesData[Sales])</f>
        <v>218627.10000000003</v>
      </c>
      <c r="M16">
        <f>SUMIF(SalesData[Product],K16,SalesData[Profit])</f>
        <v>72827.099999999962</v>
      </c>
      <c r="N16">
        <f>COUNTIF(SalesData[Product],K16)</f>
        <v>33</v>
      </c>
      <c r="P16" t="str">
        <f t="shared" si="0"/>
        <v>CUST004</v>
      </c>
      <c r="Q16" t="str">
        <f>INDEX(SalesData[Customer_Name],MATCH(P16,SalesData[Customer_ID],0))</f>
        <v>Isha Sharma</v>
      </c>
      <c r="R16">
        <f>SUMIF(SalesData[Customer_ID],P16,SalesData[Sales])</f>
        <v>17698.899999999998</v>
      </c>
      <c r="S16">
        <f>SUMIF(SalesData[Customer_ID],P16,SalesData[Profit])</f>
        <v>6398.9000000000005</v>
      </c>
      <c r="T16">
        <f>COUNTIF(SalesData[Customer_ID],P16)</f>
        <v>5</v>
      </c>
    </row>
    <row r="17" spans="1:20">
      <c r="A17" t="s">
        <v>1370</v>
      </c>
      <c r="B17">
        <f>SUMPRODUCT((MONTH(SalesData[Order_Date])=ROW()-12)*SalesData[Sales])</f>
        <v>366339.05</v>
      </c>
      <c r="C17">
        <f>SUMPRODUCT((TEXT(SalesData[Order_Date],"mmm")=A17)*SalesData[Profit])</f>
        <v>119809.05000000002</v>
      </c>
      <c r="D17">
        <f>SUMPRODUCT(--(TEXT(SalesData[Order_Date],"mmm")=A17))</f>
        <v>113</v>
      </c>
      <c r="F17" t="s">
        <v>116</v>
      </c>
      <c r="G17">
        <f>SUMIF(SalesData[State],F17,SalesData[Sales])</f>
        <v>186677.2</v>
      </c>
      <c r="H17">
        <f>SUMIF(SalesData[State],F17,SalesData[Profit])</f>
        <v>59357.200000000004</v>
      </c>
      <c r="I17">
        <f>COUNTIF(SalesData[State],F17)</f>
        <v>54</v>
      </c>
      <c r="K17" t="s">
        <v>95</v>
      </c>
      <c r="L17">
        <f>SUMIF(SalesData[Product],K17,SalesData[Sales])</f>
        <v>202793.85</v>
      </c>
      <c r="M17">
        <f>SUMIF(SalesData[Product],K17,SalesData[Profit])</f>
        <v>64793.85</v>
      </c>
      <c r="N17">
        <f>COUNTIF(SalesData[Product],K17)</f>
        <v>38</v>
      </c>
      <c r="P17" t="str">
        <f t="shared" si="0"/>
        <v>CUST005</v>
      </c>
      <c r="Q17" t="str">
        <f>INDEX(SalesData[Customer_Name],MATCH(P17,SalesData[Customer_ID],0))</f>
        <v>Nisha Verma</v>
      </c>
      <c r="R17">
        <f>SUMIF(SalesData[Customer_ID],P17,SalesData[Sales])</f>
        <v>40001.4</v>
      </c>
      <c r="S17">
        <f>SUMIF(SalesData[Customer_ID],P17,SalesData[Profit])</f>
        <v>13701.399999999998</v>
      </c>
      <c r="T17">
        <f>COUNTIF(SalesData[Customer_ID],P17)</f>
        <v>11</v>
      </c>
    </row>
    <row r="18" spans="1:20">
      <c r="A18" t="s">
        <v>1371</v>
      </c>
      <c r="B18">
        <f>SUMPRODUCT((MONTH(SalesData[Order_Date])=ROW()-12)*SalesData[Sales])</f>
        <v>285226.59999999992</v>
      </c>
      <c r="C18">
        <f>SUMPRODUCT((TEXT(SalesData[Order_Date],"mmm")=A18)*SalesData[Profit])</f>
        <v>92036.600000000049</v>
      </c>
      <c r="D18">
        <f>SUMPRODUCT(--(TEXT(SalesData[Order_Date],"mmm")=A18))</f>
        <v>93</v>
      </c>
      <c r="F18" t="s">
        <v>24</v>
      </c>
      <c r="G18">
        <f>SUMIF(SalesData[State],F18,SalesData[Sales])</f>
        <v>281047.09999999986</v>
      </c>
      <c r="H18">
        <f>SUMIF(SalesData[State],F18,SalesData[Profit])</f>
        <v>92717.1</v>
      </c>
      <c r="I18">
        <f>COUNTIF(SalesData[State],F18)</f>
        <v>83</v>
      </c>
      <c r="K18" t="s">
        <v>156</v>
      </c>
      <c r="L18">
        <f>SUMIF(SalesData[Product],K18,SalesData[Sales])</f>
        <v>182708.59999999998</v>
      </c>
      <c r="M18">
        <f>SUMIF(SalesData[Product],K18,SalesData[Profit])</f>
        <v>51408.600000000006</v>
      </c>
      <c r="N18">
        <f>COUNTIF(SalesData[Product],K18)</f>
        <v>39</v>
      </c>
      <c r="P18" t="str">
        <f t="shared" si="0"/>
        <v>CUST006</v>
      </c>
      <c r="Q18" t="str">
        <f>INDEX(SalesData[Customer_Name],MATCH(P18,SalesData[Customer_ID],0))</f>
        <v>Anjali Mehta</v>
      </c>
      <c r="R18">
        <f>SUMIF(SalesData[Customer_ID],P18,SalesData[Sales])</f>
        <v>29446.699999999993</v>
      </c>
      <c r="S18">
        <f>SUMIF(SalesData[Customer_ID],P18,SalesData[Profit])</f>
        <v>7396.7000000000007</v>
      </c>
      <c r="T18">
        <f>COUNTIF(SalesData[Customer_ID],P18)</f>
        <v>7</v>
      </c>
    </row>
    <row r="19" spans="1:20">
      <c r="A19" t="s">
        <v>1372</v>
      </c>
      <c r="B19">
        <f>SUMPRODUCT((MONTH(SalesData[Order_Date])=ROW()-12)*SalesData[Sales])</f>
        <v>343299.64999999985</v>
      </c>
      <c r="C19">
        <f>SUMPRODUCT((TEXT(SalesData[Order_Date],"mmm")=A19)*SalesData[Profit])</f>
        <v>111969.65000000004</v>
      </c>
      <c r="D19">
        <f>SUMPRODUCT(--(TEXT(SalesData[Order_Date],"mmm")=A19))</f>
        <v>93</v>
      </c>
      <c r="F19" t="s">
        <v>142</v>
      </c>
      <c r="G19">
        <f>SUMIF(SalesData[State],F19,SalesData[Sales])</f>
        <v>285311.19999999995</v>
      </c>
      <c r="H19">
        <f>SUMIF(SalesData[State],F19,SalesData[Profit])</f>
        <v>91781.200000000026</v>
      </c>
      <c r="I19">
        <f>COUNTIF(SalesData[State],F19)</f>
        <v>84</v>
      </c>
      <c r="K19" t="s">
        <v>290</v>
      </c>
      <c r="L19">
        <f>SUMIF(SalesData[Product],K19,SalesData[Sales])</f>
        <v>181409.25000000003</v>
      </c>
      <c r="M19">
        <f>SUMIF(SalesData[Product],K19,SalesData[Profit])</f>
        <v>60209.249999999985</v>
      </c>
      <c r="N19">
        <f>COUNTIF(SalesData[Product],K19)</f>
        <v>40</v>
      </c>
      <c r="P19" t="str">
        <f t="shared" si="0"/>
        <v>CUST007</v>
      </c>
      <c r="Q19" t="str">
        <f>INDEX(SalesData[Customer_Name],MATCH(P19,SalesData[Customer_ID],0))</f>
        <v>Vikas Patel</v>
      </c>
      <c r="R19">
        <f>SUMIF(SalesData[Customer_ID],P19,SalesData[Sales])</f>
        <v>13884.150000000001</v>
      </c>
      <c r="S19">
        <f>SUMIF(SalesData[Customer_ID],P19,SalesData[Profit])</f>
        <v>4004.1499999999996</v>
      </c>
      <c r="T19">
        <f>COUNTIF(SalesData[Customer_ID],P19)</f>
        <v>5</v>
      </c>
    </row>
    <row r="20" spans="1:20">
      <c r="A20" t="s">
        <v>1373</v>
      </c>
      <c r="B20">
        <f>SUMPRODUCT((MONTH(SalesData[Order_Date])=ROW()-12)*SalesData[Sales])</f>
        <v>345958.55</v>
      </c>
      <c r="C20">
        <f>SUMPRODUCT((TEXT(SalesData[Order_Date],"mmm")=A20)*SalesData[Profit])</f>
        <v>107908.54999999999</v>
      </c>
      <c r="D20">
        <f>SUMPRODUCT(--(TEXT(SalesData[Order_Date],"mmm")=A20))</f>
        <v>88</v>
      </c>
      <c r="F20" t="s">
        <v>82</v>
      </c>
      <c r="G20">
        <f>SUMIF(SalesData[State],F20,SalesData[Sales])</f>
        <v>176941.65000000002</v>
      </c>
      <c r="H20">
        <f>SUMIF(SalesData[State],F20,SalesData[Profit])</f>
        <v>58581.649999999994</v>
      </c>
      <c r="I20">
        <f>COUNTIF(SalesData[State],F20)</f>
        <v>60</v>
      </c>
      <c r="K20" t="s">
        <v>44</v>
      </c>
      <c r="L20">
        <f>SUMIF(SalesData[Product],K20,SalesData[Sales])</f>
        <v>173731.35</v>
      </c>
      <c r="M20">
        <f>SUMIF(SalesData[Product],K20,SalesData[Profit])</f>
        <v>55931.350000000013</v>
      </c>
      <c r="N20">
        <f>COUNTIF(SalesData[Product],K20)</f>
        <v>45</v>
      </c>
      <c r="P20" t="str">
        <f t="shared" si="0"/>
        <v>CUST008</v>
      </c>
      <c r="Q20" t="str">
        <f>INDEX(SalesData[Customer_Name],MATCH(P20,SalesData[Customer_ID],0))</f>
        <v>Sneha Patel</v>
      </c>
      <c r="R20">
        <f>SUMIF(SalesData[Customer_ID],P20,SalesData[Sales])</f>
        <v>45878.65</v>
      </c>
      <c r="S20">
        <f>SUMIF(SalesData[Customer_ID],P20,SalesData[Profit])</f>
        <v>16098.65</v>
      </c>
      <c r="T20">
        <f>COUNTIF(SalesData[Customer_ID],P20)</f>
        <v>9</v>
      </c>
    </row>
    <row r="21" spans="1:20">
      <c r="A21" t="s">
        <v>1374</v>
      </c>
      <c r="B21">
        <f>SUMPRODUCT((MONTH(SalesData[Order_Date])=ROW()-12)*SalesData[Sales])</f>
        <v>141223.90000000002</v>
      </c>
      <c r="C21">
        <f>SUMPRODUCT((TEXT(SalesData[Order_Date],"mmm")=A21)*SalesData[Profit])</f>
        <v>46463.9</v>
      </c>
      <c r="D21">
        <f>SUMPRODUCT(--(TEXT(SalesData[Order_Date],"mmm")=A21))</f>
        <v>53</v>
      </c>
      <c r="F21" t="s">
        <v>74</v>
      </c>
      <c r="G21">
        <f>SUMIF(SalesData[State],F21,SalesData[Sales])</f>
        <v>169512.25000000006</v>
      </c>
      <c r="H21">
        <f>SUMIF(SalesData[State],F21,SalesData[Profit])</f>
        <v>54382.249999999985</v>
      </c>
      <c r="I21">
        <f>COUNTIF(SalesData[State],F21)</f>
        <v>55</v>
      </c>
      <c r="K21" t="s">
        <v>238</v>
      </c>
      <c r="L21">
        <f>SUMIF(SalesData[Product],K21,SalesData[Sales])</f>
        <v>171431.4</v>
      </c>
      <c r="M21">
        <f>SUMIF(SalesData[Product],K21,SalesData[Profit])</f>
        <v>54431.400000000009</v>
      </c>
      <c r="N21">
        <f>COUNTIF(SalesData[Product],K21)</f>
        <v>32</v>
      </c>
      <c r="P21" t="str">
        <f t="shared" si="0"/>
        <v>CUST009</v>
      </c>
      <c r="Q21" t="str">
        <f>INDEX(SalesData[Customer_Name],MATCH(P21,SalesData[Customer_ID],0))</f>
        <v>Priya Yadav</v>
      </c>
      <c r="R21">
        <f>SUMIF(SalesData[Customer_ID],P21,SalesData[Sales])</f>
        <v>45375.75</v>
      </c>
      <c r="S21">
        <f>SUMIF(SalesData[Customer_ID],P21,SalesData[Profit])</f>
        <v>15275.75</v>
      </c>
      <c r="T21">
        <f>COUNTIF(SalesData[Customer_ID],P21)</f>
        <v>11</v>
      </c>
    </row>
    <row r="22" spans="1:20">
      <c r="A22" t="s">
        <v>1375</v>
      </c>
      <c r="B22">
        <f>SUMPRODUCT((MONTH(SalesData[Order_Date])=ROW()-12)*SalesData[Sales])</f>
        <v>159541.79999999993</v>
      </c>
      <c r="C22">
        <f>SUMPRODUCT((TEXT(SalesData[Order_Date],"mmm")=A22)*SalesData[Profit])</f>
        <v>55351.8</v>
      </c>
      <c r="D22">
        <f>SUMPRODUCT(--(TEXT(SalesData[Order_Date],"mmm")=A22))</f>
        <v>52</v>
      </c>
      <c r="F22" t="s">
        <v>94</v>
      </c>
      <c r="G22">
        <f>SUMIF(SalesData[State],F22,SalesData[Sales])</f>
        <v>345346.89999999991</v>
      </c>
      <c r="H22">
        <f>SUMIF(SalesData[State],F22,SalesData[Profit])</f>
        <v>113486.9</v>
      </c>
      <c r="I22">
        <f>COUNTIF(SalesData[State],F22)</f>
        <v>104</v>
      </c>
      <c r="K22" t="s">
        <v>214</v>
      </c>
      <c r="L22">
        <f>SUMIF(SalesData[Product],K22,SalesData[Sales])</f>
        <v>166838.69999999995</v>
      </c>
      <c r="M22">
        <f>SUMIF(SalesData[Product],K22,SalesData[Profit])</f>
        <v>54338.700000000019</v>
      </c>
      <c r="N22">
        <f>COUNTIF(SalesData[Product],K22)</f>
        <v>51</v>
      </c>
      <c r="P22" t="str">
        <f t="shared" si="0"/>
        <v>CUST010</v>
      </c>
      <c r="Q22" t="str">
        <f>INDEX(SalesData[Customer_Name],MATCH(P22,SalesData[Customer_ID],0))</f>
        <v>Amit Jain</v>
      </c>
      <c r="R22">
        <f>SUMIF(SalesData[Customer_ID],P22,SalesData[Sales])</f>
        <v>16994.05</v>
      </c>
      <c r="S22">
        <f>SUMIF(SalesData[Customer_ID],P22,SalesData[Profit])</f>
        <v>5584.0499999999993</v>
      </c>
      <c r="T22">
        <f>COUNTIF(SalesData[Customer_ID],P22)</f>
        <v>5</v>
      </c>
    </row>
    <row r="23" spans="1:20">
      <c r="A23" t="s">
        <v>1376</v>
      </c>
      <c r="B23">
        <f>SUMPRODUCT((MONTH(SalesData[Order_Date])=ROW()-12)*SalesData[Sales])</f>
        <v>225986.90000000005</v>
      </c>
      <c r="C23">
        <f>SUMPRODUCT((TEXT(SalesData[Order_Date],"mmm")=A23)*SalesData[Profit])</f>
        <v>70206.899999999994</v>
      </c>
      <c r="D23">
        <f>SUMPRODUCT(--(TEXT(SalesData[Order_Date],"mmm")=A23))</f>
        <v>61</v>
      </c>
      <c r="F23" t="s">
        <v>181</v>
      </c>
      <c r="G23">
        <f>SUMIF(SalesData[State],F23,SalesData[Sales])</f>
        <v>263031.90000000002</v>
      </c>
      <c r="H23">
        <f>SUMIF(SalesData[State],F23,SalesData[Profit])</f>
        <v>85871.900000000038</v>
      </c>
      <c r="I23">
        <f>COUNTIF(SalesData[State],F23)</f>
        <v>75</v>
      </c>
      <c r="P23" t="str">
        <f t="shared" si="0"/>
        <v>CUST011</v>
      </c>
      <c r="Q23" t="str">
        <f>INDEX(SalesData[Customer_Name],MATCH(P23,SalesData[Customer_ID],0))</f>
        <v>Vikas Singh</v>
      </c>
      <c r="R23">
        <f>SUMIF(SalesData[Customer_ID],P23,SalesData[Sales])</f>
        <v>12664.350000000002</v>
      </c>
      <c r="S23">
        <f>SUMIF(SalesData[Customer_ID],P23,SalesData[Profit])</f>
        <v>3274.3499999999995</v>
      </c>
      <c r="T23">
        <f>COUNTIF(SalesData[Customer_ID],P23)</f>
        <v>6</v>
      </c>
    </row>
    <row r="24" spans="1:20">
      <c r="A24" t="s">
        <v>1377</v>
      </c>
      <c r="B24">
        <f>SUMPRODUCT((MONTH(SalesData[Order_Date])=ROW()-12)*SalesData[Sales])</f>
        <v>133371</v>
      </c>
      <c r="C24">
        <f>SUMPRODUCT((TEXT(SalesData[Order_Date],"mmm")=A24)*SalesData[Profit])</f>
        <v>46461</v>
      </c>
      <c r="D24">
        <f>SUMPRODUCT(--(TEXT(SalesData[Order_Date],"mmm")=A24))</f>
        <v>38</v>
      </c>
      <c r="F24" t="s">
        <v>1381</v>
      </c>
      <c r="G24">
        <f>SUMIF(SalesData[State],F24,SalesData[Sales])</f>
        <v>0</v>
      </c>
      <c r="H24">
        <f>SUMIF(SalesData[State],F24,SalesData[Profit])</f>
        <v>0</v>
      </c>
      <c r="I24">
        <f>COUNTIF(SalesData[State],F24)</f>
        <v>0</v>
      </c>
      <c r="P24" t="str">
        <f t="shared" si="0"/>
        <v>CUST012</v>
      </c>
      <c r="Q24" t="str">
        <f>INDEX(SalesData[Customer_Name],MATCH(P24,SalesData[Customer_ID],0))</f>
        <v>Amit Verma</v>
      </c>
      <c r="R24">
        <f>SUMIF(SalesData[Customer_ID],P24,SalesData[Sales])</f>
        <v>45278.65</v>
      </c>
      <c r="S24">
        <f>SUMIF(SalesData[Customer_ID],P24,SalesData[Profit])</f>
        <v>13928.649999999998</v>
      </c>
      <c r="T24">
        <f>COUNTIF(SalesData[Customer_ID],P24)</f>
        <v>7</v>
      </c>
    </row>
    <row r="25" spans="1:20">
      <c r="F25" t="s">
        <v>1382</v>
      </c>
      <c r="G25">
        <f>SUMIF(SalesData[State],F25,SalesData[Sales])</f>
        <v>0</v>
      </c>
      <c r="H25">
        <f>SUMIF(SalesData[State],F25,SalesData[Profit])</f>
        <v>0</v>
      </c>
      <c r="I25">
        <f>COUNTIF(SalesData[State],F25)</f>
        <v>0</v>
      </c>
      <c r="P25" t="str">
        <f t="shared" si="0"/>
        <v>CUST013</v>
      </c>
      <c r="Q25" t="str">
        <f>INDEX(SalesData[Customer_Name],MATCH(P25,SalesData[Customer_ID],0))</f>
        <v>Arjun Yadav</v>
      </c>
      <c r="R25">
        <f>SUMIF(SalesData[Customer_ID],P25,SalesData[Sales])</f>
        <v>27372.55</v>
      </c>
      <c r="S25">
        <f>SUMIF(SalesData[Customer_ID],P25,SalesData[Profit])</f>
        <v>9172.5499999999993</v>
      </c>
      <c r="T25">
        <f>COUNTIF(SalesData[Customer_ID],P25)</f>
        <v>8</v>
      </c>
    </row>
    <row r="26" spans="1:20">
      <c r="A26" t="s">
        <v>1378</v>
      </c>
      <c r="F26" t="s">
        <v>1383</v>
      </c>
      <c r="G26">
        <f>SUMIF(SalesData[State],F26,SalesData[Sales])</f>
        <v>0</v>
      </c>
      <c r="H26">
        <f>SUMIF(SalesData[State],F26,SalesData[Profit])</f>
        <v>0</v>
      </c>
      <c r="I26">
        <f>COUNTIF(SalesData[State],F26)</f>
        <v>0</v>
      </c>
      <c r="P26" t="str">
        <f t="shared" si="0"/>
        <v>CUST014</v>
      </c>
      <c r="Q26" t="str">
        <f>INDEX(SalesData[Customer_Name],MATCH(P26,SalesData[Customer_ID],0))</f>
        <v>Simran Patel</v>
      </c>
      <c r="R26">
        <f>SUMIF(SalesData[Customer_ID],P26,SalesData[Sales])</f>
        <v>36052.550000000003</v>
      </c>
      <c r="S26">
        <f>SUMIF(SalesData[Customer_ID],P26,SalesData[Profit])</f>
        <v>10902.549999999997</v>
      </c>
      <c r="T26">
        <f>COUNTIF(SalesData[Customer_ID],P26)</f>
        <v>11</v>
      </c>
    </row>
    <row r="27" spans="1:20">
      <c r="A27" t="s">
        <v>8</v>
      </c>
      <c r="B27" t="s">
        <v>13</v>
      </c>
      <c r="C27" t="s">
        <v>15</v>
      </c>
      <c r="D27" t="s">
        <v>1365</v>
      </c>
      <c r="F27" t="s">
        <v>1384</v>
      </c>
      <c r="G27">
        <f>SUMIF(SalesData[State],F27,SalesData[Sales])</f>
        <v>0</v>
      </c>
      <c r="H27">
        <f>SUMIF(SalesData[State],F27,SalesData[Profit])</f>
        <v>0</v>
      </c>
      <c r="I27">
        <f>COUNTIF(SalesData[State],F27)</f>
        <v>0</v>
      </c>
      <c r="P27" t="str">
        <f t="shared" si="0"/>
        <v>CUST015</v>
      </c>
      <c r="Q27" t="str">
        <f>INDEX(SalesData[Customer_Name],MATCH(P27,SalesData[Customer_ID],0))</f>
        <v>Isha Kumar</v>
      </c>
      <c r="R27">
        <f>SUMIF(SalesData[Customer_ID],P27,SalesData[Sales])</f>
        <v>26577.75</v>
      </c>
      <c r="S27">
        <f>SUMIF(SalesData[Customer_ID],P27,SalesData[Profit])</f>
        <v>9607.75</v>
      </c>
      <c r="T27">
        <f>COUNTIF(SalesData[Customer_ID],P27)</f>
        <v>8</v>
      </c>
    </row>
    <row r="28" spans="1:20">
      <c r="A28" t="s">
        <v>25</v>
      </c>
      <c r="B28">
        <f>SUMIF(SalesData[Category],A28,SalesData[Sales])</f>
        <v>896964.90000000049</v>
      </c>
      <c r="C28">
        <f>SUMIF(SalesData[Category],A28,SalesData[Profit])</f>
        <v>271514.89999999985</v>
      </c>
      <c r="D28">
        <f>COUNTIF(SalesData[Category],A28)</f>
        <v>204</v>
      </c>
      <c r="P28" t="str">
        <f t="shared" si="0"/>
        <v>CUST016</v>
      </c>
      <c r="Q28" t="str">
        <f>INDEX(SalesData[Customer_Name],MATCH(P28,SalesData[Customer_ID],0))</f>
        <v>Sahil Mehta</v>
      </c>
      <c r="R28">
        <f>SUMIF(SalesData[Customer_ID],P28,SalesData[Sales])</f>
        <v>12032.6</v>
      </c>
      <c r="S28">
        <f>SUMIF(SalesData[Customer_ID],P28,SalesData[Profit])</f>
        <v>4352.6000000000004</v>
      </c>
      <c r="T28">
        <f>COUNTIF(SalesData[Customer_ID],P28)</f>
        <v>2</v>
      </c>
    </row>
    <row r="29" spans="1:20">
      <c r="A29" t="s">
        <v>43</v>
      </c>
      <c r="B29">
        <f>SUMIF(SalesData[Category],A29,SalesData[Sales])</f>
        <v>825759.00000000047</v>
      </c>
      <c r="C29">
        <f>SUMIF(SalesData[Category],A29,SalesData[Profit])</f>
        <v>274758.99999999994</v>
      </c>
      <c r="D29">
        <f>COUNTIF(SalesData[Category],A29)</f>
        <v>196</v>
      </c>
      <c r="P29" t="str">
        <f t="shared" si="0"/>
        <v>CUST017</v>
      </c>
      <c r="Q29" t="str">
        <f>INDEX(SalesData[Customer_Name],MATCH(P29,SalesData[Customer_ID],0))</f>
        <v>Priya Verma</v>
      </c>
      <c r="R29">
        <f>SUMIF(SalesData[Customer_ID],P29,SalesData[Sales])</f>
        <v>26003.9</v>
      </c>
      <c r="S29">
        <f>SUMIF(SalesData[Customer_ID],P29,SalesData[Profit])</f>
        <v>9303.9</v>
      </c>
      <c r="T29">
        <f>COUNTIF(SalesData[Customer_ID],P29)</f>
        <v>4</v>
      </c>
    </row>
    <row r="30" spans="1:20">
      <c r="A30" t="s">
        <v>163</v>
      </c>
      <c r="B30">
        <f>SUMIF(SalesData[Category],A30,SalesData[Sales])</f>
        <v>779459.3</v>
      </c>
      <c r="C30">
        <f>SUMIF(SalesData[Category],A30,SalesData[Profit])</f>
        <v>249159.29999999996</v>
      </c>
      <c r="D30">
        <f>COUNTIF(SalesData[Category],A30)</f>
        <v>170</v>
      </c>
      <c r="P30" t="str">
        <f t="shared" si="0"/>
        <v>CUST018</v>
      </c>
      <c r="Q30" t="str">
        <f>INDEX(SalesData[Customer_Name],MATCH(P30,SalesData[Customer_ID],0))</f>
        <v>Aditya Gupta</v>
      </c>
      <c r="R30">
        <f>SUMIF(SalesData[Customer_ID],P30,SalesData[Sales])</f>
        <v>13436.25</v>
      </c>
      <c r="S30">
        <f>SUMIF(SalesData[Customer_ID],P30,SalesData[Profit])</f>
        <v>3936.2499999999995</v>
      </c>
      <c r="T30">
        <f>COUNTIF(SalesData[Customer_ID],P30)</f>
        <v>5</v>
      </c>
    </row>
    <row r="31" spans="1:20">
      <c r="A31" t="s">
        <v>35</v>
      </c>
      <c r="B31">
        <f>SUMIF(SalesData[Category],A31,SalesData[Sales])</f>
        <v>346986.55</v>
      </c>
      <c r="C31">
        <f>SUMIF(SalesData[Category],A31,SalesData[Profit])</f>
        <v>134926.55000000005</v>
      </c>
      <c r="D31">
        <f>COUNTIF(SalesData[Category],A31)</f>
        <v>172</v>
      </c>
      <c r="P31" t="str">
        <f t="shared" si="0"/>
        <v>CUST019</v>
      </c>
      <c r="Q31" t="str">
        <f>INDEX(SalesData[Customer_Name],MATCH(P31,SalesData[Customer_ID],0))</f>
        <v>Karan Verma</v>
      </c>
      <c r="R31">
        <f>SUMIF(SalesData[Customer_ID],P31,SalesData[Sales])</f>
        <v>23543.5</v>
      </c>
      <c r="S31">
        <f>SUMIF(SalesData[Customer_ID],P31,SalesData[Profit])</f>
        <v>7443.5</v>
      </c>
      <c r="T31">
        <f>COUNTIF(SalesData[Customer_ID],P31)</f>
        <v>6</v>
      </c>
    </row>
    <row r="32" spans="1:20">
      <c r="A32" t="s">
        <v>75</v>
      </c>
      <c r="B32">
        <f>SUMIF(SalesData[Category],A32,SalesData[Sales])</f>
        <v>194478.35000000009</v>
      </c>
      <c r="C32">
        <f>SUMIF(SalesData[Category],A32,SalesData[Profit])</f>
        <v>59658.349999999991</v>
      </c>
      <c r="D32">
        <f>COUNTIF(SalesData[Category],A32)</f>
        <v>137</v>
      </c>
      <c r="P32" t="str">
        <f t="shared" si="0"/>
        <v>CUST020</v>
      </c>
      <c r="Q32" t="str">
        <f>INDEX(SalesData[Customer_Name],MATCH(P32,SalesData[Customer_ID],0))</f>
        <v>Sahil Kumar</v>
      </c>
      <c r="R32">
        <f>SUMIF(SalesData[Customer_ID],P32,SalesData[Sales])</f>
        <v>31615.749999999996</v>
      </c>
      <c r="S32">
        <f>SUMIF(SalesData[Customer_ID],P32,SalesData[Profit])</f>
        <v>8585.75</v>
      </c>
      <c r="T32">
        <f>COUNTIF(SalesData[Customer_ID],P32)</f>
        <v>10</v>
      </c>
    </row>
    <row r="33" spans="1:20">
      <c r="A33" t="s">
        <v>1379</v>
      </c>
      <c r="B33">
        <f>SUMIF(SalesData[Category],A33,SalesData[Sales])</f>
        <v>0</v>
      </c>
      <c r="C33">
        <f>SUMIF(SalesData[Category],A33,SalesData[Profit])</f>
        <v>0</v>
      </c>
      <c r="D33">
        <f>COUNTIF(SalesData[Category],A33)</f>
        <v>0</v>
      </c>
      <c r="P33" t="str">
        <f t="shared" si="0"/>
        <v>CUST021</v>
      </c>
      <c r="Q33" t="str">
        <f>INDEX(SalesData[Customer_Name],MATCH(P33,SalesData[Customer_ID],0))</f>
        <v>Riya Jain</v>
      </c>
      <c r="R33">
        <f>SUMIF(SalesData[Customer_ID],P33,SalesData[Sales])</f>
        <v>41298.75</v>
      </c>
      <c r="S33">
        <f>SUMIF(SalesData[Customer_ID],P33,SalesData[Profit])</f>
        <v>13198.749999999998</v>
      </c>
      <c r="T33">
        <f>COUNTIF(SalesData[Customer_ID],P33)</f>
        <v>8</v>
      </c>
    </row>
    <row r="34" spans="1:20">
      <c r="P34" t="str">
        <f t="shared" si="0"/>
        <v>CUST022</v>
      </c>
      <c r="Q34" t="str">
        <f>INDEX(SalesData[Customer_Name],MATCH(P34,SalesData[Customer_ID],0))</f>
        <v>Aditya Patel</v>
      </c>
      <c r="R34">
        <f>SUMIF(SalesData[Customer_ID],P34,SalesData[Sales])</f>
        <v>28284.399999999998</v>
      </c>
      <c r="S34">
        <f>SUMIF(SalesData[Customer_ID],P34,SalesData[Profit])</f>
        <v>9484.4000000000015</v>
      </c>
      <c r="T34">
        <f>COUNTIF(SalesData[Customer_ID],P34)</f>
        <v>6</v>
      </c>
    </row>
    <row r="35" spans="1:20">
      <c r="P35" t="str">
        <f t="shared" si="0"/>
        <v>CUST023</v>
      </c>
      <c r="Q35" t="str">
        <f>INDEX(SalesData[Customer_Name],MATCH(P35,SalesData[Customer_ID],0))</f>
        <v>Kavya Singh</v>
      </c>
      <c r="R35">
        <f>SUMIF(SalesData[Customer_ID],P35,SalesData[Sales])</f>
        <v>45224.099999999991</v>
      </c>
      <c r="S35">
        <f>SUMIF(SalesData[Customer_ID],P35,SalesData[Profit])</f>
        <v>15384.100000000002</v>
      </c>
      <c r="T35">
        <f>COUNTIF(SalesData[Customer_ID],P35)</f>
        <v>10</v>
      </c>
    </row>
    <row r="36" spans="1:20">
      <c r="P36" t="str">
        <f t="shared" si="0"/>
        <v>CUST024</v>
      </c>
      <c r="Q36" t="str">
        <f>INDEX(SalesData[Customer_Name],MATCH(P36,SalesData[Customer_ID],0))</f>
        <v>Rohan Kumar</v>
      </c>
      <c r="R36">
        <f>SUMIF(SalesData[Customer_ID],P36,SalesData[Sales])</f>
        <v>12640</v>
      </c>
      <c r="S36">
        <f>SUMIF(SalesData[Customer_ID],P36,SalesData[Profit])</f>
        <v>4060.0000000000005</v>
      </c>
      <c r="T36">
        <f>COUNTIF(SalesData[Customer_ID],P36)</f>
        <v>4</v>
      </c>
    </row>
    <row r="37" spans="1:20">
      <c r="P37" t="str">
        <f t="shared" si="0"/>
        <v>CUST025</v>
      </c>
      <c r="Q37" t="str">
        <f>INDEX(SalesData[Customer_Name],MATCH(P37,SalesData[Customer_ID],0))</f>
        <v>Aditya Mehta</v>
      </c>
      <c r="R37">
        <f>SUMIF(SalesData[Customer_ID],P37,SalesData[Sales])</f>
        <v>24600.25</v>
      </c>
      <c r="S37">
        <f>SUMIF(SalesData[Customer_ID],P37,SalesData[Profit])</f>
        <v>7200.25</v>
      </c>
      <c r="T37">
        <f>COUNTIF(SalesData[Customer_ID],P37)</f>
        <v>8</v>
      </c>
    </row>
    <row r="38" spans="1:20">
      <c r="P38" t="str">
        <f t="shared" si="0"/>
        <v>CUST026</v>
      </c>
      <c r="Q38" t="str">
        <f>INDEX(SalesData[Customer_Name],MATCH(P38,SalesData[Customer_ID],0))</f>
        <v>Arjun Jain</v>
      </c>
      <c r="R38">
        <f>SUMIF(SalesData[Customer_ID],P38,SalesData[Sales])</f>
        <v>14998.35</v>
      </c>
      <c r="S38">
        <f>SUMIF(SalesData[Customer_ID],P38,SalesData[Profit])</f>
        <v>5348.3499999999995</v>
      </c>
      <c r="T38">
        <f>COUNTIF(SalesData[Customer_ID],P38)</f>
        <v>6</v>
      </c>
    </row>
    <row r="39" spans="1:20">
      <c r="P39" t="str">
        <f t="shared" si="0"/>
        <v>CUST027</v>
      </c>
      <c r="Q39" t="str">
        <f>INDEX(SalesData[Customer_Name],MATCH(P39,SalesData[Customer_ID],0))</f>
        <v>Riya Gupta</v>
      </c>
      <c r="R39">
        <f>SUMIF(SalesData[Customer_ID],P39,SalesData[Sales])</f>
        <v>50297.599999999999</v>
      </c>
      <c r="S39">
        <f>SUMIF(SalesData[Customer_ID],P39,SalesData[Profit])</f>
        <v>16937.599999999999</v>
      </c>
      <c r="T39">
        <f>COUNTIF(SalesData[Customer_ID],P39)</f>
        <v>13</v>
      </c>
    </row>
    <row r="40" spans="1:20">
      <c r="P40" t="str">
        <f t="shared" si="0"/>
        <v>CUST028</v>
      </c>
      <c r="Q40" t="str">
        <f>INDEX(SalesData[Customer_Name],MATCH(P40,SalesData[Customer_ID],0))</f>
        <v>Pooja Mehta</v>
      </c>
      <c r="R40">
        <f>SUMIF(SalesData[Customer_ID],P40,SalesData[Sales])</f>
        <v>33974.199999999997</v>
      </c>
      <c r="S40">
        <f>SUMIF(SalesData[Customer_ID],P40,SalesData[Profit])</f>
        <v>10634.2</v>
      </c>
      <c r="T40">
        <f>COUNTIF(SalesData[Customer_ID],P40)</f>
        <v>9</v>
      </c>
    </row>
    <row r="41" spans="1:20">
      <c r="P41" t="str">
        <f t="shared" si="0"/>
        <v>CUST029</v>
      </c>
      <c r="Q41" t="str">
        <f>INDEX(SalesData[Customer_Name],MATCH(P41,SalesData[Customer_ID],0))</f>
        <v>Arjun Jain</v>
      </c>
      <c r="R41">
        <f>SUMIF(SalesData[Customer_ID],P41,SalesData[Sales])</f>
        <v>6414.5</v>
      </c>
      <c r="S41">
        <f>SUMIF(SalesData[Customer_ID],P41,SalesData[Profit])</f>
        <v>2084.5</v>
      </c>
      <c r="T41">
        <f>COUNTIF(SalesData[Customer_ID],P41)</f>
        <v>5</v>
      </c>
    </row>
    <row r="42" spans="1:20">
      <c r="P42" t="str">
        <f t="shared" si="0"/>
        <v>CUST030</v>
      </c>
      <c r="Q42" t="str">
        <f>INDEX(SalesData[Customer_Name],MATCH(P42,SalesData[Customer_ID],0))</f>
        <v>Sneha Gupta</v>
      </c>
      <c r="R42">
        <f>SUMIF(SalesData[Customer_ID],P42,SalesData[Sales])</f>
        <v>13176.15</v>
      </c>
      <c r="S42">
        <f>SUMIF(SalesData[Customer_ID],P42,SalesData[Profit])</f>
        <v>4176.1499999999996</v>
      </c>
      <c r="T42">
        <f>COUNTIF(SalesData[Customer_ID],P42)</f>
        <v>4</v>
      </c>
    </row>
    <row r="43" spans="1:20">
      <c r="P43" t="str">
        <f t="shared" si="0"/>
        <v>CUST031</v>
      </c>
      <c r="Q43" t="str">
        <f>INDEX(SalesData[Customer_Name],MATCH(P43,SalesData[Customer_ID],0))</f>
        <v>Simran Kumar</v>
      </c>
      <c r="R43">
        <f>SUMIF(SalesData[Customer_ID],P43,SalesData[Sales])</f>
        <v>34826.200000000004</v>
      </c>
      <c r="S43">
        <f>SUMIF(SalesData[Customer_ID],P43,SalesData[Profit])</f>
        <v>11536.199999999999</v>
      </c>
      <c r="T43">
        <f>COUNTIF(SalesData[Customer_ID],P43)</f>
        <v>8</v>
      </c>
    </row>
    <row r="44" spans="1:20">
      <c r="P44" t="str">
        <f t="shared" si="0"/>
        <v>CUST032</v>
      </c>
      <c r="Q44" t="str">
        <f>INDEX(SalesData[Customer_Name],MATCH(P44,SalesData[Customer_ID],0))</f>
        <v>Kavya Sharma</v>
      </c>
      <c r="R44">
        <f>SUMIF(SalesData[Customer_ID],P44,SalesData[Sales])</f>
        <v>31763.35</v>
      </c>
      <c r="S44">
        <f>SUMIF(SalesData[Customer_ID],P44,SalesData[Profit])</f>
        <v>10913.349999999997</v>
      </c>
      <c r="T44">
        <f>COUNTIF(SalesData[Customer_ID],P44)</f>
        <v>10</v>
      </c>
    </row>
    <row r="45" spans="1:20">
      <c r="P45" t="str">
        <f t="shared" si="0"/>
        <v>CUST033</v>
      </c>
      <c r="Q45" t="str">
        <f>INDEX(SalesData[Customer_Name],MATCH(P45,SalesData[Customer_ID],0))</f>
        <v>Neha Sharma</v>
      </c>
      <c r="R45">
        <f>SUMIF(SalesData[Customer_ID],P45,SalesData[Sales])</f>
        <v>11737.150000000001</v>
      </c>
      <c r="S45">
        <f>SUMIF(SalesData[Customer_ID],P45,SalesData[Profit])</f>
        <v>4107.1499999999996</v>
      </c>
      <c r="T45">
        <f>COUNTIF(SalesData[Customer_ID],P45)</f>
        <v>6</v>
      </c>
    </row>
    <row r="46" spans="1:20">
      <c r="P46" t="str">
        <f t="shared" si="0"/>
        <v>CUST034</v>
      </c>
      <c r="Q46" t="str">
        <f>INDEX(SalesData[Customer_Name],MATCH(P46,SalesData[Customer_ID],0))</f>
        <v>Kavya Singh</v>
      </c>
      <c r="R46">
        <f>SUMIF(SalesData[Customer_ID],P46,SalesData[Sales])</f>
        <v>21706.050000000003</v>
      </c>
      <c r="S46">
        <f>SUMIF(SalesData[Customer_ID],P46,SalesData[Profit])</f>
        <v>7486.0499999999993</v>
      </c>
      <c r="T46">
        <f>COUNTIF(SalesData[Customer_ID],P46)</f>
        <v>7</v>
      </c>
    </row>
    <row r="47" spans="1:20">
      <c r="P47" t="str">
        <f t="shared" si="0"/>
        <v>CUST035</v>
      </c>
      <c r="Q47" t="str">
        <f>INDEX(SalesData[Customer_Name],MATCH(P47,SalesData[Customer_ID],0))</f>
        <v>Kavya Jain</v>
      </c>
      <c r="R47">
        <f>SUMIF(SalesData[Customer_ID],P47,SalesData[Sales])</f>
        <v>31596.400000000001</v>
      </c>
      <c r="S47">
        <f>SUMIF(SalesData[Customer_ID],P47,SalesData[Profit])</f>
        <v>9946.4</v>
      </c>
      <c r="T47">
        <f>COUNTIF(SalesData[Customer_ID],P47)</f>
        <v>8</v>
      </c>
    </row>
    <row r="48" spans="1:20">
      <c r="P48" t="str">
        <f t="shared" si="0"/>
        <v>CUST036</v>
      </c>
      <c r="Q48" t="str">
        <f>INDEX(SalesData[Customer_Name],MATCH(P48,SalesData[Customer_ID],0))</f>
        <v>Isha Mehta</v>
      </c>
      <c r="R48">
        <f>SUMIF(SalesData[Customer_ID],P48,SalesData[Sales])</f>
        <v>22785.45</v>
      </c>
      <c r="S48">
        <f>SUMIF(SalesData[Customer_ID],P48,SalesData[Profit])</f>
        <v>7085.45</v>
      </c>
      <c r="T48">
        <f>COUNTIF(SalesData[Customer_ID],P48)</f>
        <v>4</v>
      </c>
    </row>
    <row r="49" spans="16:20">
      <c r="P49" t="str">
        <f t="shared" si="0"/>
        <v>CUST037</v>
      </c>
      <c r="Q49" t="str">
        <f>INDEX(SalesData[Customer_Name],MATCH(P49,SalesData[Customer_ID],0))</f>
        <v>Aditya Patel</v>
      </c>
      <c r="R49">
        <f>SUMIF(SalesData[Customer_ID],P49,SalesData[Sales])</f>
        <v>19836.849999999999</v>
      </c>
      <c r="S49">
        <f>SUMIF(SalesData[Customer_ID],P49,SalesData[Profit])</f>
        <v>6086.8499999999995</v>
      </c>
      <c r="T49">
        <f>COUNTIF(SalesData[Customer_ID],P49)</f>
        <v>7</v>
      </c>
    </row>
    <row r="50" spans="16:20">
      <c r="P50" t="str">
        <f t="shared" si="0"/>
        <v>CUST038</v>
      </c>
      <c r="Q50" t="str">
        <f>INDEX(SalesData[Customer_Name],MATCH(P50,SalesData[Customer_ID],0))</f>
        <v>Neha Verma</v>
      </c>
      <c r="R50">
        <f>SUMIF(SalesData[Customer_ID],P50,SalesData[Sales])</f>
        <v>33461.050000000003</v>
      </c>
      <c r="S50">
        <f>SUMIF(SalesData[Customer_ID],P50,SalesData[Profit])</f>
        <v>10311.049999999999</v>
      </c>
      <c r="T50">
        <f>COUNTIF(SalesData[Customer_ID],P50)</f>
        <v>11</v>
      </c>
    </row>
    <row r="51" spans="16:20">
      <c r="P51" t="str">
        <f t="shared" si="0"/>
        <v>CUST039</v>
      </c>
      <c r="Q51" t="str">
        <f>INDEX(SalesData[Customer_Name],MATCH(P51,SalesData[Customer_ID],0))</f>
        <v>Varun Jain</v>
      </c>
      <c r="R51">
        <f>SUMIF(SalesData[Customer_ID],P51,SalesData[Sales])</f>
        <v>41977.1</v>
      </c>
      <c r="S51">
        <f>SUMIF(SalesData[Customer_ID],P51,SalesData[Profit])</f>
        <v>14327.1</v>
      </c>
      <c r="T51">
        <f>COUNTIF(SalesData[Customer_ID],P51)</f>
        <v>9</v>
      </c>
    </row>
    <row r="52" spans="16:20">
      <c r="P52" t="str">
        <f t="shared" si="0"/>
        <v>CUST040</v>
      </c>
      <c r="Q52" t="str">
        <f>INDEX(SalesData[Customer_Name],MATCH(P52,SalesData[Customer_ID],0))</f>
        <v>Amit Sharma</v>
      </c>
      <c r="R52">
        <f>SUMIF(SalesData[Customer_ID],P52,SalesData[Sales])</f>
        <v>18651.600000000002</v>
      </c>
      <c r="S52">
        <f>SUMIF(SalesData[Customer_ID],P52,SalesData[Profit])</f>
        <v>6031.5999999999995</v>
      </c>
      <c r="T52">
        <f>COUNTIF(SalesData[Customer_ID],P52)</f>
        <v>7</v>
      </c>
    </row>
    <row r="53" spans="16:20">
      <c r="P53" t="str">
        <f t="shared" si="0"/>
        <v>CUST041</v>
      </c>
      <c r="Q53" t="str">
        <f>INDEX(SalesData[Customer_Name],MATCH(P53,SalesData[Customer_ID],0))</f>
        <v>Karan Singh</v>
      </c>
      <c r="R53">
        <f>SUMIF(SalesData[Customer_ID],P53,SalesData[Sales])</f>
        <v>3470.9500000000003</v>
      </c>
      <c r="S53">
        <f>SUMIF(SalesData[Customer_ID],P53,SalesData[Profit])</f>
        <v>890.94999999999993</v>
      </c>
      <c r="T53">
        <f>COUNTIF(SalesData[Customer_ID],P53)</f>
        <v>2</v>
      </c>
    </row>
    <row r="54" spans="16:20">
      <c r="P54" t="str">
        <f t="shared" si="0"/>
        <v>CUST042</v>
      </c>
      <c r="Q54" t="str">
        <f>INDEX(SalesData[Customer_Name],MATCH(P54,SalesData[Customer_ID],0))</f>
        <v>Kavya Verma</v>
      </c>
      <c r="R54">
        <f>SUMIF(SalesData[Customer_ID],P54,SalesData[Sales])</f>
        <v>10790.2</v>
      </c>
      <c r="S54">
        <f>SUMIF(SalesData[Customer_ID],P54,SalesData[Profit])</f>
        <v>3310.2</v>
      </c>
      <c r="T54">
        <f>COUNTIF(SalesData[Customer_ID],P54)</f>
        <v>6</v>
      </c>
    </row>
    <row r="55" spans="16:20">
      <c r="P55" t="str">
        <f t="shared" si="0"/>
        <v>CUST043</v>
      </c>
      <c r="Q55" t="str">
        <f>INDEX(SalesData[Customer_Name],MATCH(P55,SalesData[Customer_ID],0))</f>
        <v>Varun Yadav</v>
      </c>
      <c r="R55">
        <f>SUMIF(SalesData[Customer_ID],P55,SalesData[Sales])</f>
        <v>13185.699999999999</v>
      </c>
      <c r="S55">
        <f>SUMIF(SalesData[Customer_ID],P55,SalesData[Profit])</f>
        <v>4455.7000000000007</v>
      </c>
      <c r="T55">
        <f>COUNTIF(SalesData[Customer_ID],P55)</f>
        <v>7</v>
      </c>
    </row>
    <row r="56" spans="16:20">
      <c r="P56" t="str">
        <f t="shared" si="0"/>
        <v>CUST044</v>
      </c>
      <c r="Q56" t="str">
        <f>INDEX(SalesData[Customer_Name],MATCH(P56,SalesData[Customer_ID],0))</f>
        <v>Vikas Singh</v>
      </c>
      <c r="R56">
        <f>SUMIF(SalesData[Customer_ID],P56,SalesData[Sales])</f>
        <v>29032.850000000002</v>
      </c>
      <c r="S56">
        <f>SUMIF(SalesData[Customer_ID],P56,SalesData[Profit])</f>
        <v>9182.85</v>
      </c>
      <c r="T56">
        <f>COUNTIF(SalesData[Customer_ID],P56)</f>
        <v>8</v>
      </c>
    </row>
    <row r="57" spans="16:20">
      <c r="P57" t="str">
        <f t="shared" si="0"/>
        <v>CUST045</v>
      </c>
      <c r="Q57" t="str">
        <f>INDEX(SalesData[Customer_Name],MATCH(P57,SalesData[Customer_ID],0))</f>
        <v>Nisha Mehta</v>
      </c>
      <c r="R57">
        <f>SUMIF(SalesData[Customer_ID],P57,SalesData[Sales])</f>
        <v>18356.3</v>
      </c>
      <c r="S57">
        <f>SUMIF(SalesData[Customer_ID],P57,SalesData[Profit])</f>
        <v>5496.3</v>
      </c>
      <c r="T57">
        <f>COUNTIF(SalesData[Customer_ID],P57)</f>
        <v>7</v>
      </c>
    </row>
    <row r="58" spans="16:20">
      <c r="P58" t="str">
        <f t="shared" si="0"/>
        <v>CUST046</v>
      </c>
      <c r="Q58" t="str">
        <f>INDEX(SalesData[Customer_Name],MATCH(P58,SalesData[Customer_ID],0))</f>
        <v>Priya Mehta</v>
      </c>
      <c r="R58">
        <f>SUMIF(SalesData[Customer_ID],P58,SalesData[Sales])</f>
        <v>28481.45</v>
      </c>
      <c r="S58">
        <f>SUMIF(SalesData[Customer_ID],P58,SalesData[Profit])</f>
        <v>10131.450000000001</v>
      </c>
      <c r="T58">
        <f>COUNTIF(SalesData[Customer_ID],P58)</f>
        <v>6</v>
      </c>
    </row>
    <row r="59" spans="16:20">
      <c r="P59" t="str">
        <f t="shared" si="0"/>
        <v>CUST047</v>
      </c>
      <c r="Q59" t="str">
        <f>INDEX(SalesData[Customer_Name],MATCH(P59,SalesData[Customer_ID],0))</f>
        <v>Neha Verma</v>
      </c>
      <c r="R59">
        <f>SUMIF(SalesData[Customer_ID],P59,SalesData[Sales])</f>
        <v>17280.300000000003</v>
      </c>
      <c r="S59">
        <f>SUMIF(SalesData[Customer_ID],P59,SalesData[Profit])</f>
        <v>5130.3</v>
      </c>
      <c r="T59">
        <f>COUNTIF(SalesData[Customer_ID],P59)</f>
        <v>4</v>
      </c>
    </row>
    <row r="60" spans="16:20">
      <c r="P60" t="str">
        <f t="shared" si="0"/>
        <v>CUST048</v>
      </c>
      <c r="Q60" t="str">
        <f>INDEX(SalesData[Customer_Name],MATCH(P60,SalesData[Customer_ID],0))</f>
        <v>Nisha Kumar</v>
      </c>
      <c r="R60">
        <f>SUMIF(SalesData[Customer_ID],P60,SalesData[Sales])</f>
        <v>16565.349999999999</v>
      </c>
      <c r="S60">
        <f>SUMIF(SalesData[Customer_ID],P60,SalesData[Profit])</f>
        <v>4815.3500000000004</v>
      </c>
      <c r="T60">
        <f>COUNTIF(SalesData[Customer_ID],P60)</f>
        <v>5</v>
      </c>
    </row>
    <row r="61" spans="16:20">
      <c r="P61" t="str">
        <f t="shared" si="0"/>
        <v>CUST049</v>
      </c>
      <c r="Q61" t="str">
        <f>INDEX(SalesData[Customer_Name],MATCH(P61,SalesData[Customer_ID],0))</f>
        <v>Amit Yadav</v>
      </c>
      <c r="R61">
        <f>SUMIF(SalesData[Customer_ID],P61,SalesData[Sales])</f>
        <v>30062.1</v>
      </c>
      <c r="S61">
        <f>SUMIF(SalesData[Customer_ID],P61,SalesData[Profit])</f>
        <v>8912.0999999999985</v>
      </c>
      <c r="T61">
        <f>COUNTIF(SalesData[Customer_ID],P61)</f>
        <v>7</v>
      </c>
    </row>
    <row r="62" spans="16:20">
      <c r="P62" t="str">
        <f t="shared" si="0"/>
        <v>CUST050</v>
      </c>
      <c r="Q62" t="str">
        <f>INDEX(SalesData[Customer_Name],MATCH(P62,SalesData[Customer_ID],0))</f>
        <v>Riya Sharma</v>
      </c>
      <c r="R62">
        <f>SUMIF(SalesData[Customer_ID],P62,SalesData[Sales])</f>
        <v>14682.15</v>
      </c>
      <c r="S62">
        <f>SUMIF(SalesData[Customer_ID],P62,SalesData[Profit])</f>
        <v>4522.1500000000005</v>
      </c>
      <c r="T62">
        <f>COUNTIF(SalesData[Customer_ID],P62)</f>
        <v>4</v>
      </c>
    </row>
    <row r="63" spans="16:20">
      <c r="P63" t="str">
        <f t="shared" si="0"/>
        <v>CUST051</v>
      </c>
      <c r="Q63" t="str">
        <f>INDEX(SalesData[Customer_Name],MATCH(P63,SalesData[Customer_ID],0))</f>
        <v>Nisha Yadav</v>
      </c>
      <c r="R63">
        <f>SUMIF(SalesData[Customer_ID],P63,SalesData[Sales])</f>
        <v>6781.75</v>
      </c>
      <c r="S63">
        <f>SUMIF(SalesData[Customer_ID],P63,SalesData[Profit])</f>
        <v>2371.75</v>
      </c>
      <c r="T63">
        <f>COUNTIF(SalesData[Customer_ID],P63)</f>
        <v>5</v>
      </c>
    </row>
    <row r="64" spans="16:20">
      <c r="P64" t="str">
        <f t="shared" si="0"/>
        <v>CUST052</v>
      </c>
      <c r="Q64" t="str">
        <f>INDEX(SalesData[Customer_Name],MATCH(P64,SalesData[Customer_ID],0))</f>
        <v>Priya Kumar</v>
      </c>
      <c r="R64">
        <f>SUMIF(SalesData[Customer_ID],P64,SalesData[Sales])</f>
        <v>25788.399999999998</v>
      </c>
      <c r="S64">
        <f>SUMIF(SalesData[Customer_ID],P64,SalesData[Profit])</f>
        <v>8338.4000000000015</v>
      </c>
      <c r="T64">
        <f>COUNTIF(SalesData[Customer_ID],P64)</f>
        <v>10</v>
      </c>
    </row>
    <row r="65" spans="16:20">
      <c r="P65" t="str">
        <f t="shared" si="0"/>
        <v>CUST053</v>
      </c>
      <c r="Q65" t="str">
        <f>INDEX(SalesData[Customer_Name],MATCH(P65,SalesData[Customer_ID],0))</f>
        <v>Arjun Yadav</v>
      </c>
      <c r="R65">
        <f>SUMIF(SalesData[Customer_ID],P65,SalesData[Sales])</f>
        <v>20678.499999999996</v>
      </c>
      <c r="S65">
        <f>SUMIF(SalesData[Customer_ID],P65,SalesData[Profit])</f>
        <v>6678.5000000000009</v>
      </c>
      <c r="T65">
        <f>COUNTIF(SalesData[Customer_ID],P65)</f>
        <v>6</v>
      </c>
    </row>
    <row r="66" spans="16:20">
      <c r="P66" t="str">
        <f t="shared" si="0"/>
        <v>CUST054</v>
      </c>
      <c r="Q66" t="str">
        <f>INDEX(SalesData[Customer_Name],MATCH(P66,SalesData[Customer_ID],0))</f>
        <v>Kavya Kumar</v>
      </c>
      <c r="R66">
        <f>SUMIF(SalesData[Customer_ID],P66,SalesData[Sales])</f>
        <v>19327.25</v>
      </c>
      <c r="S66">
        <f>SUMIF(SalesData[Customer_ID],P66,SalesData[Profit])</f>
        <v>5437.25</v>
      </c>
      <c r="T66">
        <f>COUNTIF(SalesData[Customer_ID],P66)</f>
        <v>6</v>
      </c>
    </row>
    <row r="67" spans="16:20">
      <c r="P67" t="str">
        <f t="shared" si="0"/>
        <v>CUST055</v>
      </c>
      <c r="Q67" t="str">
        <f>INDEX(SalesData[Customer_Name],MATCH(P67,SalesData[Customer_ID],0))</f>
        <v>Priya Mishra</v>
      </c>
      <c r="R67">
        <f>SUMIF(SalesData[Customer_ID],P67,SalesData[Sales])</f>
        <v>25542.500000000004</v>
      </c>
      <c r="S67">
        <f>SUMIF(SalesData[Customer_ID],P67,SalesData[Profit])</f>
        <v>8582.5</v>
      </c>
      <c r="T67">
        <f>COUNTIF(SalesData[Customer_ID],P67)</f>
        <v>8</v>
      </c>
    </row>
    <row r="68" spans="16:20">
      <c r="P68" t="str">
        <f t="shared" si="0"/>
        <v>CUST056</v>
      </c>
      <c r="Q68" t="str">
        <f>INDEX(SalesData[Customer_Name],MATCH(P68,SalesData[Customer_ID],0))</f>
        <v>Priya Sharma</v>
      </c>
      <c r="R68">
        <f>SUMIF(SalesData[Customer_ID],P68,SalesData[Sales])</f>
        <v>17576.899999999998</v>
      </c>
      <c r="S68">
        <f>SUMIF(SalesData[Customer_ID],P68,SalesData[Profit])</f>
        <v>5176.9000000000005</v>
      </c>
      <c r="T68">
        <f>COUNTIF(SalesData[Customer_ID],P68)</f>
        <v>7</v>
      </c>
    </row>
    <row r="69" spans="16:20">
      <c r="P69" t="str">
        <f t="shared" si="0"/>
        <v>CUST057</v>
      </c>
      <c r="Q69" t="str">
        <f>INDEX(SalesData[Customer_Name],MATCH(P69,SalesData[Customer_ID],0))</f>
        <v>Manish Kumar</v>
      </c>
      <c r="R69">
        <f>SUMIF(SalesData[Customer_ID],P69,SalesData[Sales])</f>
        <v>13040.899999999998</v>
      </c>
      <c r="S69">
        <f>SUMIF(SalesData[Customer_ID],P69,SalesData[Profit])</f>
        <v>4730.9000000000005</v>
      </c>
      <c r="T69">
        <f>COUNTIF(SalesData[Customer_ID],P69)</f>
        <v>4</v>
      </c>
    </row>
    <row r="70" spans="16:20">
      <c r="P70" t="str">
        <f t="shared" si="0"/>
        <v>CUST058</v>
      </c>
      <c r="Q70" t="str">
        <f>INDEX(SalesData[Customer_Name],MATCH(P70,SalesData[Customer_ID],0))</f>
        <v>Amit Mishra</v>
      </c>
      <c r="R70">
        <f>SUMIF(SalesData[Customer_ID],P70,SalesData[Sales])</f>
        <v>19364.400000000001</v>
      </c>
      <c r="S70">
        <f>SUMIF(SalesData[Customer_ID],P70,SalesData[Profit])</f>
        <v>6594.4</v>
      </c>
      <c r="T70">
        <f>COUNTIF(SalesData[Customer_ID],P70)</f>
        <v>7</v>
      </c>
    </row>
    <row r="71" spans="16:20">
      <c r="P71" t="str">
        <f t="shared" si="0"/>
        <v>CUST059</v>
      </c>
      <c r="Q71" t="str">
        <f>INDEX(SalesData[Customer_Name],MATCH(P71,SalesData[Customer_ID],0))</f>
        <v>Sneha Mishra</v>
      </c>
      <c r="R71">
        <f>SUMIF(SalesData[Customer_ID],P71,SalesData[Sales])</f>
        <v>21790.35</v>
      </c>
      <c r="S71">
        <f>SUMIF(SalesData[Customer_ID],P71,SalesData[Profit])</f>
        <v>7490.3499999999995</v>
      </c>
      <c r="T71">
        <f>COUNTIF(SalesData[Customer_ID],P71)</f>
        <v>8</v>
      </c>
    </row>
    <row r="72" spans="16:20">
      <c r="P72" t="str">
        <f t="shared" si="0"/>
        <v>CUST060</v>
      </c>
      <c r="Q72" t="str">
        <f>INDEX(SalesData[Customer_Name],MATCH(P72,SalesData[Customer_ID],0))</f>
        <v>Nisha Mishra</v>
      </c>
      <c r="R72">
        <f>SUMIF(SalesData[Customer_ID],P72,SalesData[Sales])</f>
        <v>12069.75</v>
      </c>
      <c r="S72">
        <f>SUMIF(SalesData[Customer_ID],P72,SalesData[Profit])</f>
        <v>4319.75</v>
      </c>
      <c r="T72">
        <f>COUNTIF(SalesData[Customer_ID],P72)</f>
        <v>5</v>
      </c>
    </row>
    <row r="73" spans="16:20">
      <c r="P73" t="str">
        <f t="shared" si="0"/>
        <v>CUST061</v>
      </c>
      <c r="Q73" t="str">
        <f>INDEX(SalesData[Customer_Name],MATCH(P73,SalesData[Customer_ID],0))</f>
        <v>Vikas Patel</v>
      </c>
      <c r="R73">
        <f>SUMIF(SalesData[Customer_ID],P73,SalesData[Sales])</f>
        <v>3986.75</v>
      </c>
      <c r="S73">
        <f>SUMIF(SalesData[Customer_ID],P73,SalesData[Profit])</f>
        <v>1126.75</v>
      </c>
      <c r="T73">
        <f>COUNTIF(SalesData[Customer_ID],P73)</f>
        <v>2</v>
      </c>
    </row>
    <row r="74" spans="16:20">
      <c r="P74" t="str">
        <f t="shared" si="0"/>
        <v>CUST062</v>
      </c>
      <c r="Q74" t="str">
        <f>INDEX(SalesData[Customer_Name],MATCH(P74,SalesData[Customer_ID],0))</f>
        <v>Rohan Gupta</v>
      </c>
      <c r="R74">
        <f>SUMIF(SalesData[Customer_ID],P74,SalesData[Sales])</f>
        <v>33864.950000000004</v>
      </c>
      <c r="S74">
        <f>SUMIF(SalesData[Customer_ID],P74,SalesData[Profit])</f>
        <v>11764.95</v>
      </c>
      <c r="T74">
        <f>COUNTIF(SalesData[Customer_ID],P74)</f>
        <v>10</v>
      </c>
    </row>
    <row r="75" spans="16:20">
      <c r="P75" t="str">
        <f t="shared" si="0"/>
        <v>CUST063</v>
      </c>
      <c r="Q75" t="str">
        <f>INDEX(SalesData[Customer_Name],MATCH(P75,SalesData[Customer_ID],0))</f>
        <v>Rahul Yadav</v>
      </c>
      <c r="R75">
        <f>SUMIF(SalesData[Customer_ID],P75,SalesData[Sales])</f>
        <v>25839.85</v>
      </c>
      <c r="S75">
        <f>SUMIF(SalesData[Customer_ID],P75,SalesData[Profit])</f>
        <v>8039.85</v>
      </c>
      <c r="T75">
        <f>COUNTIF(SalesData[Customer_ID],P75)</f>
        <v>8</v>
      </c>
    </row>
    <row r="76" spans="16:20">
      <c r="P76" t="str">
        <f t="shared" si="0"/>
        <v>CUST064</v>
      </c>
      <c r="Q76" t="str">
        <f>INDEX(SalesData[Customer_Name],MATCH(P76,SalesData[Customer_ID],0))</f>
        <v>Riya Verma</v>
      </c>
      <c r="R76">
        <f>SUMIF(SalesData[Customer_ID],P76,SalesData[Sales])</f>
        <v>29826.9</v>
      </c>
      <c r="S76">
        <f>SUMIF(SalesData[Customer_ID],P76,SalesData[Profit])</f>
        <v>10126.9</v>
      </c>
      <c r="T76">
        <f>COUNTIF(SalesData[Customer_ID],P76)</f>
        <v>8</v>
      </c>
    </row>
    <row r="77" spans="16:20">
      <c r="P77" t="str">
        <f t="shared" si="0"/>
        <v>CUST065</v>
      </c>
      <c r="Q77" t="str">
        <f>INDEX(SalesData[Customer_Name],MATCH(P77,SalesData[Customer_ID],0))</f>
        <v>Simran Singh</v>
      </c>
      <c r="R77">
        <f>SUMIF(SalesData[Customer_ID],P77,SalesData[Sales])</f>
        <v>29174.049999999996</v>
      </c>
      <c r="S77">
        <f>SUMIF(SalesData[Customer_ID],P77,SalesData[Profit])</f>
        <v>10174.050000000001</v>
      </c>
      <c r="T77">
        <f>COUNTIF(SalesData[Customer_ID],P77)</f>
        <v>9</v>
      </c>
    </row>
    <row r="78" spans="16:20">
      <c r="P78" t="str">
        <f t="shared" ref="P78:P141" si="1">"CUST"&amp;TEXT(ROW()-12,"000")</f>
        <v>CUST066</v>
      </c>
      <c r="Q78" t="str">
        <f>INDEX(SalesData[Customer_Name],MATCH(P78,SalesData[Customer_ID],0))</f>
        <v>Pooja Kumar</v>
      </c>
      <c r="R78">
        <f>SUMIF(SalesData[Customer_ID],P78,SalesData[Sales])</f>
        <v>11992.75</v>
      </c>
      <c r="S78">
        <f>SUMIF(SalesData[Customer_ID],P78,SalesData[Profit])</f>
        <v>4302.75</v>
      </c>
      <c r="T78">
        <f>COUNTIF(SalesData[Customer_ID],P78)</f>
        <v>5</v>
      </c>
    </row>
    <row r="79" spans="16:20">
      <c r="P79" t="str">
        <f t="shared" si="1"/>
        <v>CUST067</v>
      </c>
      <c r="Q79" t="str">
        <f>INDEX(SalesData[Customer_Name],MATCH(P79,SalesData[Customer_ID],0))</f>
        <v>Rahul Jain</v>
      </c>
      <c r="R79">
        <f>SUMIF(SalesData[Customer_ID],P79,SalesData[Sales])</f>
        <v>32509.850000000002</v>
      </c>
      <c r="S79">
        <f>SUMIF(SalesData[Customer_ID],P79,SalesData[Profit])</f>
        <v>10909.85</v>
      </c>
      <c r="T79">
        <f>COUNTIF(SalesData[Customer_ID],P79)</f>
        <v>8</v>
      </c>
    </row>
    <row r="80" spans="16:20">
      <c r="P80" t="str">
        <f t="shared" si="1"/>
        <v>CUST068</v>
      </c>
      <c r="Q80" t="str">
        <f>INDEX(SalesData[Customer_Name],MATCH(P80,SalesData[Customer_ID],0))</f>
        <v>Arjun Singh</v>
      </c>
      <c r="R80">
        <f>SUMIF(SalesData[Customer_ID],P80,SalesData[Sales])</f>
        <v>12949.7</v>
      </c>
      <c r="S80">
        <f>SUMIF(SalesData[Customer_ID],P80,SalesData[Profit])</f>
        <v>4699.7</v>
      </c>
      <c r="T80">
        <f>COUNTIF(SalesData[Customer_ID],P80)</f>
        <v>3</v>
      </c>
    </row>
    <row r="81" spans="16:20">
      <c r="P81" t="str">
        <f t="shared" si="1"/>
        <v>CUST069</v>
      </c>
      <c r="Q81" t="str">
        <f>INDEX(SalesData[Customer_Name],MATCH(P81,SalesData[Customer_ID],0))</f>
        <v>Rohan Gupta</v>
      </c>
      <c r="R81">
        <f>SUMIF(SalesData[Customer_ID],P81,SalesData[Sales])</f>
        <v>14111</v>
      </c>
      <c r="S81">
        <f>SUMIF(SalesData[Customer_ID],P81,SalesData[Profit])</f>
        <v>4551</v>
      </c>
      <c r="T81">
        <f>COUNTIF(SalesData[Customer_ID],P81)</f>
        <v>5</v>
      </c>
    </row>
    <row r="82" spans="16:20">
      <c r="P82" t="str">
        <f t="shared" si="1"/>
        <v>CUST070</v>
      </c>
      <c r="Q82" t="str">
        <f>INDEX(SalesData[Customer_Name],MATCH(P82,SalesData[Customer_ID],0))</f>
        <v>Vikas Gupta</v>
      </c>
      <c r="R82">
        <f>SUMIF(SalesData[Customer_ID],P82,SalesData[Sales])</f>
        <v>38509.35</v>
      </c>
      <c r="S82">
        <f>SUMIF(SalesData[Customer_ID],P82,SalesData[Profit])</f>
        <v>13809.35</v>
      </c>
      <c r="T82">
        <f>COUNTIF(SalesData[Customer_ID],P82)</f>
        <v>8</v>
      </c>
    </row>
    <row r="83" spans="16:20">
      <c r="P83" t="str">
        <f t="shared" si="1"/>
        <v>CUST071</v>
      </c>
      <c r="Q83" t="str">
        <f>INDEX(SalesData[Customer_Name],MATCH(P83,SalesData[Customer_ID],0))</f>
        <v>Priya Singh</v>
      </c>
      <c r="R83">
        <f>SUMIF(SalesData[Customer_ID],P83,SalesData[Sales])</f>
        <v>27736.7</v>
      </c>
      <c r="S83">
        <f>SUMIF(SalesData[Customer_ID],P83,SalesData[Profit])</f>
        <v>8936.7000000000007</v>
      </c>
      <c r="T83">
        <f>COUNTIF(SalesData[Customer_ID],P83)</f>
        <v>5</v>
      </c>
    </row>
    <row r="84" spans="16:20">
      <c r="P84" t="str">
        <f t="shared" si="1"/>
        <v>CUST072</v>
      </c>
      <c r="Q84" t="str">
        <f>INDEX(SalesData[Customer_Name],MATCH(P84,SalesData[Customer_ID],0))</f>
        <v>Priya Sharma</v>
      </c>
      <c r="R84">
        <f>SUMIF(SalesData[Customer_ID],P84,SalesData[Sales])</f>
        <v>28206.000000000004</v>
      </c>
      <c r="S84">
        <f>SUMIF(SalesData[Customer_ID],P84,SalesData[Profit])</f>
        <v>8595.9999999999982</v>
      </c>
      <c r="T84">
        <f>COUNTIF(SalesData[Customer_ID],P84)</f>
        <v>9</v>
      </c>
    </row>
    <row r="85" spans="16:20">
      <c r="P85" t="str">
        <f t="shared" si="1"/>
        <v>CUST073</v>
      </c>
      <c r="Q85" t="str">
        <f>INDEX(SalesData[Customer_Name],MATCH(P85,SalesData[Customer_ID],0))</f>
        <v>Anjali Yadav</v>
      </c>
      <c r="R85">
        <f>SUMIF(SalesData[Customer_ID],P85,SalesData[Sales])</f>
        <v>15768.3</v>
      </c>
      <c r="S85">
        <f>SUMIF(SalesData[Customer_ID],P85,SalesData[Profit])</f>
        <v>5418.3</v>
      </c>
      <c r="T85">
        <f>COUNTIF(SalesData[Customer_ID],P85)</f>
        <v>6</v>
      </c>
    </row>
    <row r="86" spans="16:20">
      <c r="P86" t="str">
        <f t="shared" si="1"/>
        <v>CUST074</v>
      </c>
      <c r="Q86" t="str">
        <f>INDEX(SalesData[Customer_Name],MATCH(P86,SalesData[Customer_ID],0))</f>
        <v>Rahul Singh</v>
      </c>
      <c r="R86">
        <f>SUMIF(SalesData[Customer_ID],P86,SalesData[Sales])</f>
        <v>14909.750000000002</v>
      </c>
      <c r="S86">
        <f>SUMIF(SalesData[Customer_ID],P86,SalesData[Profit])</f>
        <v>4909.75</v>
      </c>
      <c r="T86">
        <f>COUNTIF(SalesData[Customer_ID],P86)</f>
        <v>6</v>
      </c>
    </row>
    <row r="87" spans="16:20">
      <c r="P87" t="str">
        <f t="shared" si="1"/>
        <v>CUST075</v>
      </c>
      <c r="Q87" t="str">
        <f>INDEX(SalesData[Customer_Name],MATCH(P87,SalesData[Customer_ID],0))</f>
        <v>Priya Patel</v>
      </c>
      <c r="R87">
        <f>SUMIF(SalesData[Customer_ID],P87,SalesData[Sales])</f>
        <v>31067.5</v>
      </c>
      <c r="S87">
        <f>SUMIF(SalesData[Customer_ID],P87,SalesData[Profit])</f>
        <v>9437.5</v>
      </c>
      <c r="T87">
        <f>COUNTIF(SalesData[Customer_ID],P87)</f>
        <v>10</v>
      </c>
    </row>
    <row r="88" spans="16:20">
      <c r="P88" t="str">
        <f t="shared" si="1"/>
        <v>CUST076</v>
      </c>
      <c r="Q88" t="str">
        <f>INDEX(SalesData[Customer_Name],MATCH(P88,SalesData[Customer_ID],0))</f>
        <v>Rohan Sharma</v>
      </c>
      <c r="R88">
        <f>SUMIF(SalesData[Customer_ID],P88,SalesData[Sales])</f>
        <v>20663.7</v>
      </c>
      <c r="S88">
        <f>SUMIF(SalesData[Customer_ID],P88,SalesData[Profit])</f>
        <v>5933.7000000000007</v>
      </c>
      <c r="T88">
        <f>COUNTIF(SalesData[Customer_ID],P88)</f>
        <v>7</v>
      </c>
    </row>
    <row r="89" spans="16:20">
      <c r="P89" t="str">
        <f t="shared" si="1"/>
        <v>CUST077</v>
      </c>
      <c r="Q89" t="str">
        <f>INDEX(SalesData[Customer_Name],MATCH(P89,SalesData[Customer_ID],0))</f>
        <v>Simran Verma</v>
      </c>
      <c r="R89">
        <f>SUMIF(SalesData[Customer_ID],P89,SalesData[Sales])</f>
        <v>43524.65</v>
      </c>
      <c r="S89">
        <f>SUMIF(SalesData[Customer_ID],P89,SalesData[Profit])</f>
        <v>13074.65</v>
      </c>
      <c r="T89">
        <f>COUNTIF(SalesData[Customer_ID],P89)</f>
        <v>9</v>
      </c>
    </row>
    <row r="90" spans="16:20">
      <c r="P90" t="str">
        <f t="shared" si="1"/>
        <v>CUST078</v>
      </c>
      <c r="Q90" t="str">
        <f>INDEX(SalesData[Customer_Name],MATCH(P90,SalesData[Customer_ID],0))</f>
        <v>Simran Jain</v>
      </c>
      <c r="R90">
        <f>SUMIF(SalesData[Customer_ID],P90,SalesData[Sales])</f>
        <v>23728.7</v>
      </c>
      <c r="S90">
        <f>SUMIF(SalesData[Customer_ID],P90,SalesData[Profit])</f>
        <v>8088.7</v>
      </c>
      <c r="T90">
        <f>COUNTIF(SalesData[Customer_ID],P90)</f>
        <v>10</v>
      </c>
    </row>
    <row r="91" spans="16:20">
      <c r="P91" t="str">
        <f t="shared" si="1"/>
        <v>CUST079</v>
      </c>
      <c r="Q91" t="str">
        <f>INDEX(SalesData[Customer_Name],MATCH(P91,SalesData[Customer_ID],0))</f>
        <v>Neha Kumar</v>
      </c>
      <c r="R91">
        <f>SUMIF(SalesData[Customer_ID],P91,SalesData[Sales])</f>
        <v>17074.900000000001</v>
      </c>
      <c r="S91">
        <f>SUMIF(SalesData[Customer_ID],P91,SalesData[Profit])</f>
        <v>5224.8999999999996</v>
      </c>
      <c r="T91">
        <f>COUNTIF(SalesData[Customer_ID],P91)</f>
        <v>6</v>
      </c>
    </row>
    <row r="92" spans="16:20">
      <c r="P92" t="str">
        <f t="shared" si="1"/>
        <v>CUST080</v>
      </c>
      <c r="Q92" t="str">
        <f>INDEX(SalesData[Customer_Name],MATCH(P92,SalesData[Customer_ID],0))</f>
        <v>Rahul Kumar</v>
      </c>
      <c r="R92">
        <f>SUMIF(SalesData[Customer_ID],P92,SalesData[Sales])</f>
        <v>10865.45</v>
      </c>
      <c r="S92">
        <f>SUMIF(SalesData[Customer_ID],P92,SalesData[Profit])</f>
        <v>3235.45</v>
      </c>
      <c r="T92">
        <f>COUNTIF(SalesData[Customer_ID],P92)</f>
        <v>5</v>
      </c>
    </row>
    <row r="93" spans="16:20">
      <c r="P93" t="str">
        <f t="shared" si="1"/>
        <v>CUST081</v>
      </c>
      <c r="Q93" t="str">
        <f>INDEX(SalesData[Customer_Name],MATCH(P93,SalesData[Customer_ID],0))</f>
        <v>Neha Gupta</v>
      </c>
      <c r="R93">
        <f>SUMIF(SalesData[Customer_ID],P93,SalesData[Sales])</f>
        <v>9810.25</v>
      </c>
      <c r="S93">
        <f>SUMIF(SalesData[Customer_ID],P93,SalesData[Profit])</f>
        <v>3240.25</v>
      </c>
      <c r="T93">
        <f>COUNTIF(SalesData[Customer_ID],P93)</f>
        <v>7</v>
      </c>
    </row>
    <row r="94" spans="16:20">
      <c r="P94" t="str">
        <f t="shared" si="1"/>
        <v>CUST082</v>
      </c>
      <c r="Q94" t="str">
        <f>INDEX(SalesData[Customer_Name],MATCH(P94,SalesData[Customer_ID],0))</f>
        <v>Priya Yadav</v>
      </c>
      <c r="R94">
        <f>SUMIF(SalesData[Customer_ID],P94,SalesData[Sales])</f>
        <v>15991.95</v>
      </c>
      <c r="S94">
        <f>SUMIF(SalesData[Customer_ID],P94,SalesData[Profit])</f>
        <v>5731.95</v>
      </c>
      <c r="T94">
        <f>COUNTIF(SalesData[Customer_ID],P94)</f>
        <v>5</v>
      </c>
    </row>
    <row r="95" spans="16:20">
      <c r="P95" t="str">
        <f t="shared" si="1"/>
        <v>CUST083</v>
      </c>
      <c r="Q95" t="str">
        <f>INDEX(SalesData[Customer_Name],MATCH(P95,SalesData[Customer_ID],0))</f>
        <v>Simran Gupta</v>
      </c>
      <c r="R95">
        <f>SUMIF(SalesData[Customer_ID],P95,SalesData[Sales])</f>
        <v>29231.15</v>
      </c>
      <c r="S95">
        <f>SUMIF(SalesData[Customer_ID],P95,SalesData[Profit])</f>
        <v>9911.15</v>
      </c>
      <c r="T95">
        <f>COUNTIF(SalesData[Customer_ID],P95)</f>
        <v>13</v>
      </c>
    </row>
    <row r="96" spans="16:20">
      <c r="P96" t="str">
        <f t="shared" si="1"/>
        <v>CUST084</v>
      </c>
      <c r="Q96" t="str">
        <f>INDEX(SalesData[Customer_Name],MATCH(P96,SalesData[Customer_ID],0))</f>
        <v>Rahul Verma</v>
      </c>
      <c r="R96">
        <f>SUMIF(SalesData[Customer_ID],P96,SalesData[Sales])</f>
        <v>21580.65</v>
      </c>
      <c r="S96">
        <f>SUMIF(SalesData[Customer_ID],P96,SalesData[Profit])</f>
        <v>6950.65</v>
      </c>
      <c r="T96">
        <f>COUNTIF(SalesData[Customer_ID],P96)</f>
        <v>6</v>
      </c>
    </row>
    <row r="97" spans="16:20">
      <c r="P97" t="str">
        <f t="shared" si="1"/>
        <v>CUST085</v>
      </c>
      <c r="Q97" t="str">
        <f>INDEX(SalesData[Customer_Name],MATCH(P97,SalesData[Customer_ID],0))</f>
        <v>Amit Gupta</v>
      </c>
      <c r="R97">
        <f>SUMIF(SalesData[Customer_ID],P97,SalesData[Sales])</f>
        <v>11612.45</v>
      </c>
      <c r="S97">
        <f>SUMIF(SalesData[Customer_ID],P97,SalesData[Profit])</f>
        <v>3962.4500000000003</v>
      </c>
      <c r="T97">
        <f>COUNTIF(SalesData[Customer_ID],P97)</f>
        <v>8</v>
      </c>
    </row>
    <row r="98" spans="16:20">
      <c r="P98" t="str">
        <f t="shared" si="1"/>
        <v>CUST086</v>
      </c>
      <c r="Q98" t="str">
        <f>INDEX(SalesData[Customer_Name],MATCH(P98,SalesData[Customer_ID],0))</f>
        <v>Karan Sharma</v>
      </c>
      <c r="R98">
        <f>SUMIF(SalesData[Customer_ID],P98,SalesData[Sales])</f>
        <v>7048.85</v>
      </c>
      <c r="S98">
        <f>SUMIF(SalesData[Customer_ID],P98,SalesData[Profit])</f>
        <v>2208.85</v>
      </c>
      <c r="T98">
        <f>COUNTIF(SalesData[Customer_ID],P98)</f>
        <v>3</v>
      </c>
    </row>
    <row r="99" spans="16:20">
      <c r="P99" t="str">
        <f t="shared" si="1"/>
        <v>CUST087</v>
      </c>
      <c r="Q99" t="str">
        <f>INDEX(SalesData[Customer_Name],MATCH(P99,SalesData[Customer_ID],0))</f>
        <v>Varun Gupta</v>
      </c>
      <c r="R99">
        <f>SUMIF(SalesData[Customer_ID],P99,SalesData[Sales])</f>
        <v>36463.300000000003</v>
      </c>
      <c r="S99">
        <f>SUMIF(SalesData[Customer_ID],P99,SalesData[Profit])</f>
        <v>12223.3</v>
      </c>
      <c r="T99">
        <f>COUNTIF(SalesData[Customer_ID],P99)</f>
        <v>9</v>
      </c>
    </row>
    <row r="100" spans="16:20">
      <c r="P100" t="str">
        <f t="shared" si="1"/>
        <v>CUST088</v>
      </c>
      <c r="Q100" t="str">
        <f>INDEX(SalesData[Customer_Name],MATCH(P100,SalesData[Customer_ID],0))</f>
        <v>Simran Patel</v>
      </c>
      <c r="R100">
        <f>SUMIF(SalesData[Customer_ID],P100,SalesData[Sales])</f>
        <v>11028.55</v>
      </c>
      <c r="S100">
        <f>SUMIF(SalesData[Customer_ID],P100,SalesData[Profit])</f>
        <v>2978.55</v>
      </c>
      <c r="T100">
        <f>COUNTIF(SalesData[Customer_ID],P100)</f>
        <v>3</v>
      </c>
    </row>
    <row r="101" spans="16:20">
      <c r="P101" t="str">
        <f t="shared" si="1"/>
        <v>CUST089</v>
      </c>
      <c r="Q101" t="str">
        <f>INDEX(SalesData[Customer_Name],MATCH(P101,SalesData[Customer_ID],0))</f>
        <v>Varun Verma</v>
      </c>
      <c r="R101">
        <f>SUMIF(SalesData[Customer_ID],P101,SalesData[Sales])</f>
        <v>23433.050000000003</v>
      </c>
      <c r="S101">
        <f>SUMIF(SalesData[Customer_ID],P101,SalesData[Profit])</f>
        <v>8033.0499999999993</v>
      </c>
      <c r="T101">
        <f>COUNTIF(SalesData[Customer_ID],P101)</f>
        <v>8</v>
      </c>
    </row>
    <row r="102" spans="16:20">
      <c r="P102" t="str">
        <f t="shared" si="1"/>
        <v>CUST090</v>
      </c>
      <c r="Q102" t="str">
        <f>INDEX(SalesData[Customer_Name],MATCH(P102,SalesData[Customer_ID],0))</f>
        <v>Rahul Jain</v>
      </c>
      <c r="R102">
        <f>SUMIF(SalesData[Customer_ID],P102,SalesData[Sales])</f>
        <v>25207.999999999996</v>
      </c>
      <c r="S102">
        <f>SUMIF(SalesData[Customer_ID],P102,SalesData[Profit])</f>
        <v>7458.0000000000009</v>
      </c>
      <c r="T102">
        <f>COUNTIF(SalesData[Customer_ID],P102)</f>
        <v>5</v>
      </c>
    </row>
    <row r="103" spans="16:20">
      <c r="P103" t="str">
        <f t="shared" si="1"/>
        <v>CUST091</v>
      </c>
      <c r="Q103" t="str">
        <f>INDEX(SalesData[Customer_Name],MATCH(P103,SalesData[Customer_ID],0))</f>
        <v>Nisha Singh</v>
      </c>
      <c r="R103">
        <f>SUMIF(SalesData[Customer_ID],P103,SalesData[Sales])</f>
        <v>8953.7999999999993</v>
      </c>
      <c r="S103">
        <f>SUMIF(SalesData[Customer_ID],P103,SalesData[Profit])</f>
        <v>2903.8</v>
      </c>
      <c r="T103">
        <f>COUNTIF(SalesData[Customer_ID],P103)</f>
        <v>2</v>
      </c>
    </row>
    <row r="104" spans="16:20">
      <c r="P104" t="str">
        <f t="shared" si="1"/>
        <v>CUST092</v>
      </c>
      <c r="Q104" t="str">
        <f>INDEX(SalesData[Customer_Name],MATCH(P104,SalesData[Customer_ID],0))</f>
        <v>Sneha Gupta</v>
      </c>
      <c r="R104">
        <f>SUMIF(SalesData[Customer_ID],P104,SalesData[Sales])</f>
        <v>17000.8</v>
      </c>
      <c r="S104">
        <f>SUMIF(SalesData[Customer_ID],P104,SalesData[Profit])</f>
        <v>5820.8</v>
      </c>
      <c r="T104">
        <f>COUNTIF(SalesData[Customer_ID],P104)</f>
        <v>4</v>
      </c>
    </row>
    <row r="105" spans="16:20">
      <c r="P105" t="str">
        <f t="shared" si="1"/>
        <v>CUST093</v>
      </c>
      <c r="Q105" t="str">
        <f>INDEX(SalesData[Customer_Name],MATCH(P105,SalesData[Customer_ID],0))</f>
        <v>Karan Mehta</v>
      </c>
      <c r="R105">
        <f>SUMIF(SalesData[Customer_ID],P105,SalesData[Sales])</f>
        <v>16919.25</v>
      </c>
      <c r="S105">
        <f>SUMIF(SalesData[Customer_ID],P105,SalesData[Profit])</f>
        <v>3869.25</v>
      </c>
      <c r="T105">
        <f>COUNTIF(SalesData[Customer_ID],P105)</f>
        <v>4</v>
      </c>
    </row>
    <row r="106" spans="16:20">
      <c r="P106" t="str">
        <f t="shared" si="1"/>
        <v>CUST094</v>
      </c>
      <c r="Q106" t="str">
        <f>INDEX(SalesData[Customer_Name],MATCH(P106,SalesData[Customer_ID],0))</f>
        <v>Rohan Verma</v>
      </c>
      <c r="R106">
        <f>SUMIF(SalesData[Customer_ID],P106,SalesData[Sales])</f>
        <v>12117.8</v>
      </c>
      <c r="S106">
        <f>SUMIF(SalesData[Customer_ID],P106,SalesData[Profit])</f>
        <v>3917.8</v>
      </c>
      <c r="T106">
        <f>COUNTIF(SalesData[Customer_ID],P106)</f>
        <v>4</v>
      </c>
    </row>
    <row r="107" spans="16:20">
      <c r="P107" t="str">
        <f t="shared" si="1"/>
        <v>CUST095</v>
      </c>
      <c r="Q107" t="str">
        <f>INDEX(SalesData[Customer_Name],MATCH(P107,SalesData[Customer_ID],0))</f>
        <v>Isha Mishra</v>
      </c>
      <c r="R107">
        <f>SUMIF(SalesData[Customer_ID],P107,SalesData[Sales])</f>
        <v>10447.9</v>
      </c>
      <c r="S107">
        <f>SUMIF(SalesData[Customer_ID],P107,SalesData[Profit])</f>
        <v>3597.9000000000005</v>
      </c>
      <c r="T107">
        <f>COUNTIF(SalesData[Customer_ID],P107)</f>
        <v>7</v>
      </c>
    </row>
    <row r="108" spans="16:20">
      <c r="P108" t="str">
        <f t="shared" si="1"/>
        <v>CUST096</v>
      </c>
      <c r="Q108" t="str">
        <f>INDEX(SalesData[Customer_Name],MATCH(P108,SalesData[Customer_ID],0))</f>
        <v>Rahul Gupta</v>
      </c>
      <c r="R108">
        <f>SUMIF(SalesData[Customer_ID],P108,SalesData[Sales])</f>
        <v>15811.5</v>
      </c>
      <c r="S108">
        <f>SUMIF(SalesData[Customer_ID],P108,SalesData[Profit])</f>
        <v>5161.5</v>
      </c>
      <c r="T108">
        <f>COUNTIF(SalesData[Customer_ID],P108)</f>
        <v>5</v>
      </c>
    </row>
    <row r="109" spans="16:20">
      <c r="P109" t="str">
        <f t="shared" si="1"/>
        <v>CUST097</v>
      </c>
      <c r="Q109" t="str">
        <f>INDEX(SalesData[Customer_Name],MATCH(P109,SalesData[Customer_ID],0))</f>
        <v>Varun Mishra</v>
      </c>
      <c r="R109">
        <f>SUMIF(SalesData[Customer_ID],P109,SalesData[Sales])</f>
        <v>30601.800000000003</v>
      </c>
      <c r="S109">
        <f>SUMIF(SalesData[Customer_ID],P109,SalesData[Profit])</f>
        <v>11851.8</v>
      </c>
      <c r="T109">
        <f>COUNTIF(SalesData[Customer_ID],P109)</f>
        <v>8</v>
      </c>
    </row>
    <row r="110" spans="16:20">
      <c r="P110" t="str">
        <f t="shared" si="1"/>
        <v>CUST098</v>
      </c>
      <c r="Q110" t="str">
        <f>INDEX(SalesData[Customer_Name],MATCH(P110,SalesData[Customer_ID],0))</f>
        <v>Sahil Yadav</v>
      </c>
      <c r="R110">
        <f>SUMIF(SalesData[Customer_ID],P110,SalesData[Sales])</f>
        <v>30427.749999999996</v>
      </c>
      <c r="S110">
        <f>SUMIF(SalesData[Customer_ID],P110,SalesData[Profit])</f>
        <v>9937.75</v>
      </c>
      <c r="T110">
        <f>COUNTIF(SalesData[Customer_ID],P110)</f>
        <v>12</v>
      </c>
    </row>
    <row r="111" spans="16:20">
      <c r="P111" t="str">
        <f t="shared" si="1"/>
        <v>CUST099</v>
      </c>
      <c r="Q111" t="str">
        <f>INDEX(SalesData[Customer_Name],MATCH(P111,SalesData[Customer_ID],0))</f>
        <v>Kavya Kumar</v>
      </c>
      <c r="R111">
        <f>SUMIF(SalesData[Customer_ID],P111,SalesData[Sales])</f>
        <v>16914.599999999999</v>
      </c>
      <c r="S111">
        <f>SUMIF(SalesData[Customer_ID],P111,SalesData[Profit])</f>
        <v>5364.6</v>
      </c>
      <c r="T111">
        <f>COUNTIF(SalesData[Customer_ID],P111)</f>
        <v>7</v>
      </c>
    </row>
    <row r="112" spans="16:20">
      <c r="P112" t="str">
        <f t="shared" si="1"/>
        <v>CUST100</v>
      </c>
      <c r="Q112" t="str">
        <f>INDEX(SalesData[Customer_Name],MATCH(P112,SalesData[Customer_ID],0))</f>
        <v>Manish Mishra</v>
      </c>
      <c r="R112">
        <f>SUMIF(SalesData[Customer_ID],P112,SalesData[Sales])</f>
        <v>20603</v>
      </c>
      <c r="S112">
        <f>SUMIF(SalesData[Customer_ID],P112,SalesData[Profit])</f>
        <v>6922.9999999999991</v>
      </c>
      <c r="T112">
        <f>COUNTIF(SalesData[Customer_ID],P112)</f>
        <v>6</v>
      </c>
    </row>
    <row r="113" spans="16:20">
      <c r="P113" t="str">
        <f t="shared" si="1"/>
        <v>CUST101</v>
      </c>
      <c r="Q113" t="str">
        <f>INDEX(SalesData[Customer_Name],MATCH(P113,SalesData[Customer_ID],0))</f>
        <v>Pooja Verma</v>
      </c>
      <c r="R113">
        <f>SUMIF(SalesData[Customer_ID],P113,SalesData[Sales])</f>
        <v>20608.849999999999</v>
      </c>
      <c r="S113">
        <f>SUMIF(SalesData[Customer_ID],P113,SalesData[Profit])</f>
        <v>7698.85</v>
      </c>
      <c r="T113">
        <f>COUNTIF(SalesData[Customer_ID],P113)</f>
        <v>5</v>
      </c>
    </row>
    <row r="114" spans="16:20">
      <c r="P114" t="str">
        <f t="shared" si="1"/>
        <v>CUST102</v>
      </c>
      <c r="Q114" t="str">
        <f>INDEX(SalesData[Customer_Name],MATCH(P114,SalesData[Customer_ID],0))</f>
        <v>Rahul Sharma</v>
      </c>
      <c r="R114">
        <f>SUMIF(SalesData[Customer_ID],P114,SalesData[Sales])</f>
        <v>27212.299999999996</v>
      </c>
      <c r="S114">
        <f>SUMIF(SalesData[Customer_ID],P114,SalesData[Profit])</f>
        <v>9042.3000000000011</v>
      </c>
      <c r="T114">
        <f>COUNTIF(SalesData[Customer_ID],P114)</f>
        <v>8</v>
      </c>
    </row>
    <row r="115" spans="16:20">
      <c r="P115" t="str">
        <f t="shared" si="1"/>
        <v>CUST103</v>
      </c>
      <c r="Q115" t="str">
        <f>INDEX(SalesData[Customer_Name],MATCH(P115,SalesData[Customer_ID],0))</f>
        <v>Sahil Mehta</v>
      </c>
      <c r="R115">
        <f>SUMIF(SalesData[Customer_ID],P115,SalesData[Sales])</f>
        <v>4959.2</v>
      </c>
      <c r="S115">
        <f>SUMIF(SalesData[Customer_ID],P115,SalesData[Profit])</f>
        <v>1349.2</v>
      </c>
      <c r="T115">
        <f>COUNTIF(SalesData[Customer_ID],P115)</f>
        <v>3</v>
      </c>
    </row>
    <row r="116" spans="16:20">
      <c r="P116" t="str">
        <f t="shared" si="1"/>
        <v>CUST104</v>
      </c>
      <c r="Q116" t="str">
        <f>INDEX(SalesData[Customer_Name],MATCH(P116,SalesData[Customer_ID],0))</f>
        <v>Kavya Mehta</v>
      </c>
      <c r="R116">
        <f>SUMIF(SalesData[Customer_ID],P116,SalesData[Sales])</f>
        <v>12230.150000000001</v>
      </c>
      <c r="S116">
        <f>SUMIF(SalesData[Customer_ID],P116,SalesData[Profit])</f>
        <v>4150.1500000000005</v>
      </c>
      <c r="T116">
        <f>COUNTIF(SalesData[Customer_ID],P116)</f>
        <v>5</v>
      </c>
    </row>
    <row r="117" spans="16:20">
      <c r="P117" t="str">
        <f t="shared" si="1"/>
        <v>CUST105</v>
      </c>
      <c r="Q117" t="str">
        <f>INDEX(SalesData[Customer_Name],MATCH(P117,SalesData[Customer_ID],0))</f>
        <v>Sneha Mehta</v>
      </c>
      <c r="R117">
        <f>SUMIF(SalesData[Customer_ID],P117,SalesData[Sales])</f>
        <v>27439.899999999998</v>
      </c>
      <c r="S117">
        <f>SUMIF(SalesData[Customer_ID],P117,SalesData[Profit])</f>
        <v>9359.9</v>
      </c>
      <c r="T117">
        <f>COUNTIF(SalesData[Customer_ID],P117)</f>
        <v>8</v>
      </c>
    </row>
    <row r="118" spans="16:20">
      <c r="P118" t="str">
        <f t="shared" si="1"/>
        <v>CUST106</v>
      </c>
      <c r="Q118" t="str">
        <f>INDEX(SalesData[Customer_Name],MATCH(P118,SalesData[Customer_ID],0))</f>
        <v>Sahil Sharma</v>
      </c>
      <c r="R118">
        <f>SUMIF(SalesData[Customer_ID],P118,SalesData[Sales])</f>
        <v>41634.700000000004</v>
      </c>
      <c r="S118">
        <f>SUMIF(SalesData[Customer_ID],P118,SalesData[Profit])</f>
        <v>12434.699999999999</v>
      </c>
      <c r="T118">
        <f>COUNTIF(SalesData[Customer_ID],P118)</f>
        <v>8</v>
      </c>
    </row>
    <row r="119" spans="16:20">
      <c r="P119" t="str">
        <f t="shared" si="1"/>
        <v>CUST107</v>
      </c>
      <c r="Q119" t="str">
        <f>INDEX(SalesData[Customer_Name],MATCH(P119,SalesData[Customer_ID],0))</f>
        <v>Sahil Kumar</v>
      </c>
      <c r="R119">
        <f>SUMIF(SalesData[Customer_ID],P119,SalesData[Sales])</f>
        <v>28645.35</v>
      </c>
      <c r="S119">
        <f>SUMIF(SalesData[Customer_ID],P119,SalesData[Profit])</f>
        <v>10045.349999999999</v>
      </c>
      <c r="T119">
        <f>COUNTIF(SalesData[Customer_ID],P119)</f>
        <v>9</v>
      </c>
    </row>
    <row r="120" spans="16:20">
      <c r="P120" t="str">
        <f t="shared" si="1"/>
        <v>CUST108</v>
      </c>
      <c r="Q120" t="str">
        <f>INDEX(SalesData[Customer_Name],MATCH(P120,SalesData[Customer_ID],0))</f>
        <v>Riya Mishra</v>
      </c>
      <c r="R120">
        <f>SUMIF(SalesData[Customer_ID],P120,SalesData[Sales])</f>
        <v>28584.95</v>
      </c>
      <c r="S120">
        <f>SUMIF(SalesData[Customer_ID],P120,SalesData[Profit])</f>
        <v>9254.9499999999989</v>
      </c>
      <c r="T120">
        <f>COUNTIF(SalesData[Customer_ID],P120)</f>
        <v>8</v>
      </c>
    </row>
    <row r="121" spans="16:20">
      <c r="P121" t="str">
        <f t="shared" si="1"/>
        <v>CUST109</v>
      </c>
      <c r="Q121" t="str">
        <f>INDEX(SalesData[Customer_Name],MATCH(P121,SalesData[Customer_ID],0))</f>
        <v>Nisha Jain</v>
      </c>
      <c r="R121">
        <f>SUMIF(SalesData[Customer_ID],P121,SalesData[Sales])</f>
        <v>30192.1</v>
      </c>
      <c r="S121">
        <f>SUMIF(SalesData[Customer_ID],P121,SalesData[Profit])</f>
        <v>8892.1</v>
      </c>
      <c r="T121">
        <f>COUNTIF(SalesData[Customer_ID],P121)</f>
        <v>7</v>
      </c>
    </row>
    <row r="122" spans="16:20">
      <c r="P122" t="str">
        <f t="shared" si="1"/>
        <v>CUST110</v>
      </c>
      <c r="Q122" t="str">
        <f>INDEX(SalesData[Customer_Name],MATCH(P122,SalesData[Customer_ID],0))</f>
        <v>Sahil Gupta</v>
      </c>
      <c r="R122">
        <f>SUMIF(SalesData[Customer_ID],P122,SalesData[Sales])</f>
        <v>11149.9</v>
      </c>
      <c r="S122">
        <f>SUMIF(SalesData[Customer_ID],P122,SalesData[Profit])</f>
        <v>4229.9000000000005</v>
      </c>
      <c r="T122">
        <f>COUNTIF(SalesData[Customer_ID],P122)</f>
        <v>4</v>
      </c>
    </row>
    <row r="123" spans="16:20">
      <c r="P123" t="str">
        <f t="shared" si="1"/>
        <v>CUST111</v>
      </c>
      <c r="Q123" t="str">
        <f>INDEX(SalesData[Customer_Name],MATCH(P123,SalesData[Customer_ID],0))</f>
        <v>Manish Yadav</v>
      </c>
      <c r="R123">
        <f>SUMIF(SalesData[Customer_ID],P123,SalesData[Sales])</f>
        <v>27531.949999999997</v>
      </c>
      <c r="S123">
        <f>SUMIF(SalesData[Customer_ID],P123,SalesData[Profit])</f>
        <v>9681.9500000000007</v>
      </c>
      <c r="T123">
        <f>COUNTIF(SalesData[Customer_ID],P123)</f>
        <v>10</v>
      </c>
    </row>
    <row r="124" spans="16:20">
      <c r="P124" t="str">
        <f t="shared" si="1"/>
        <v>CUST112</v>
      </c>
      <c r="Q124" t="str">
        <f>INDEX(SalesData[Customer_Name],MATCH(P124,SalesData[Customer_ID],0))</f>
        <v>Sahil Singh</v>
      </c>
      <c r="R124">
        <f>SUMIF(SalesData[Customer_ID],P124,SalesData[Sales])</f>
        <v>24767.4</v>
      </c>
      <c r="S124">
        <f>SUMIF(SalesData[Customer_ID],P124,SalesData[Profit])</f>
        <v>9267.4</v>
      </c>
      <c r="T124">
        <f>COUNTIF(SalesData[Customer_ID],P124)</f>
        <v>4</v>
      </c>
    </row>
    <row r="125" spans="16:20">
      <c r="P125" t="str">
        <f t="shared" si="1"/>
        <v>CUST113</v>
      </c>
      <c r="Q125" t="str">
        <f>INDEX(SalesData[Customer_Name],MATCH(P125,SalesData[Customer_ID],0))</f>
        <v>Arjun Patel</v>
      </c>
      <c r="R125">
        <f>SUMIF(SalesData[Customer_ID],P125,SalesData[Sales])</f>
        <v>29213.249999999996</v>
      </c>
      <c r="S125">
        <f>SUMIF(SalesData[Customer_ID],P125,SalesData[Profit])</f>
        <v>9303.2500000000018</v>
      </c>
      <c r="T125">
        <f>COUNTIF(SalesData[Customer_ID],P125)</f>
        <v>8</v>
      </c>
    </row>
    <row r="126" spans="16:20">
      <c r="P126" t="str">
        <f t="shared" si="1"/>
        <v>CUST114</v>
      </c>
      <c r="Q126" t="str">
        <f>INDEX(SalesData[Customer_Name],MATCH(P126,SalesData[Customer_ID],0))</f>
        <v>Rohan Verma</v>
      </c>
      <c r="R126">
        <f>SUMIF(SalesData[Customer_ID],P126,SalesData[Sales])</f>
        <v>9451.1</v>
      </c>
      <c r="S126">
        <f>SUMIF(SalesData[Customer_ID],P126,SalesData[Profit])</f>
        <v>3911.1</v>
      </c>
      <c r="T126">
        <f>COUNTIF(SalesData[Customer_ID],P126)</f>
        <v>3</v>
      </c>
    </row>
    <row r="127" spans="16:20">
      <c r="P127" t="str">
        <f t="shared" si="1"/>
        <v>CUST115</v>
      </c>
      <c r="Q127" t="str">
        <f>INDEX(SalesData[Customer_Name],MATCH(P127,SalesData[Customer_ID],0))</f>
        <v>Amit Mehta</v>
      </c>
      <c r="R127">
        <f>SUMIF(SalesData[Customer_ID],P127,SalesData[Sales])</f>
        <v>33176.25</v>
      </c>
      <c r="S127">
        <f>SUMIF(SalesData[Customer_ID],P127,SalesData[Profit])</f>
        <v>11576.25</v>
      </c>
      <c r="T127">
        <f>COUNTIF(SalesData[Customer_ID],P127)</f>
        <v>7</v>
      </c>
    </row>
    <row r="128" spans="16:20">
      <c r="P128" t="str">
        <f t="shared" si="1"/>
        <v>CUST116</v>
      </c>
      <c r="Q128" t="str">
        <f>INDEX(SalesData[Customer_Name],MATCH(P128,SalesData[Customer_ID],0))</f>
        <v>Sahil Mehta</v>
      </c>
      <c r="R128">
        <f>SUMIF(SalesData[Customer_ID],P128,SalesData[Sales])</f>
        <v>20777.599999999999</v>
      </c>
      <c r="S128">
        <f>SUMIF(SalesData[Customer_ID],P128,SalesData[Profit])</f>
        <v>6917.6</v>
      </c>
      <c r="T128">
        <f>COUNTIF(SalesData[Customer_ID],P128)</f>
        <v>6</v>
      </c>
    </row>
    <row r="129" spans="16:20">
      <c r="P129" t="str">
        <f t="shared" si="1"/>
        <v>CUST117</v>
      </c>
      <c r="Q129" t="str">
        <f>INDEX(SalesData[Customer_Name],MATCH(P129,SalesData[Customer_ID],0))</f>
        <v>Aditya Mishra</v>
      </c>
      <c r="R129">
        <f>SUMIF(SalesData[Customer_ID],P129,SalesData[Sales])</f>
        <v>56973.7</v>
      </c>
      <c r="S129">
        <f>SUMIF(SalesData[Customer_ID],P129,SalesData[Profit])</f>
        <v>16473.699999999997</v>
      </c>
      <c r="T129">
        <f>COUNTIF(SalesData[Customer_ID],P129)</f>
        <v>11</v>
      </c>
    </row>
    <row r="130" spans="16:20">
      <c r="P130" t="str">
        <f t="shared" si="1"/>
        <v>CUST118</v>
      </c>
      <c r="Q130" t="str">
        <f>INDEX(SalesData[Customer_Name],MATCH(P130,SalesData[Customer_ID],0))</f>
        <v>Aditya Yadav</v>
      </c>
      <c r="R130">
        <f>SUMIF(SalesData[Customer_ID],P130,SalesData[Sales])</f>
        <v>20093.350000000002</v>
      </c>
      <c r="S130">
        <f>SUMIF(SalesData[Customer_ID],P130,SalesData[Profit])</f>
        <v>6283.3499999999995</v>
      </c>
      <c r="T130">
        <f>COUNTIF(SalesData[Customer_ID],P130)</f>
        <v>7</v>
      </c>
    </row>
    <row r="131" spans="16:20">
      <c r="P131" t="str">
        <f t="shared" si="1"/>
        <v>CUST119</v>
      </c>
      <c r="Q131" t="str">
        <f>INDEX(SalesData[Customer_Name],MATCH(P131,SalesData[Customer_ID],0))</f>
        <v>Aditya Mehta</v>
      </c>
      <c r="R131">
        <f>SUMIF(SalesData[Customer_ID],P131,SalesData[Sales])</f>
        <v>22085.55</v>
      </c>
      <c r="S131">
        <f>SUMIF(SalesData[Customer_ID],P131,SalesData[Profit])</f>
        <v>7855.55</v>
      </c>
      <c r="T131">
        <f>COUNTIF(SalesData[Customer_ID],P131)</f>
        <v>5</v>
      </c>
    </row>
    <row r="132" spans="16:20">
      <c r="P132" t="str">
        <f t="shared" si="1"/>
        <v>CUST120</v>
      </c>
      <c r="Q132" t="str">
        <f>INDEX(SalesData[Customer_Name],MATCH(P132,SalesData[Customer_ID],0))</f>
        <v>Neha Gupta</v>
      </c>
      <c r="R132">
        <f>SUMIF(SalesData[Customer_ID],P132,SalesData[Sales])</f>
        <v>11226.85</v>
      </c>
      <c r="S132">
        <f>SUMIF(SalesData[Customer_ID],P132,SalesData[Profit])</f>
        <v>2826.85</v>
      </c>
      <c r="T132">
        <f>COUNTIF(SalesData[Customer_ID],P132)</f>
        <v>3</v>
      </c>
    </row>
    <row r="133" spans="16:20">
      <c r="P133" t="str">
        <f t="shared" si="1"/>
        <v>CUST121</v>
      </c>
      <c r="Q133" t="str">
        <f>INDEX(SalesData[Customer_Name],MATCH(P133,SalesData[Customer_ID],0))</f>
        <v>Aditya Patel</v>
      </c>
      <c r="R133">
        <f>SUMIF(SalesData[Customer_ID],P133,SalesData[Sales])</f>
        <v>24257.450000000004</v>
      </c>
      <c r="S133">
        <f>SUMIF(SalesData[Customer_ID],P133,SalesData[Profit])</f>
        <v>7857.4500000000007</v>
      </c>
      <c r="T133">
        <f>COUNTIF(SalesData[Customer_ID],P133)</f>
        <v>6</v>
      </c>
    </row>
    <row r="134" spans="16:20">
      <c r="P134" t="str">
        <f t="shared" si="1"/>
        <v>CUST122</v>
      </c>
      <c r="Q134" t="str">
        <f>INDEX(SalesData[Customer_Name],MATCH(P134,SalesData[Customer_ID],0))</f>
        <v>Sahil Kumar</v>
      </c>
      <c r="R134">
        <f>SUMIF(SalesData[Customer_ID],P134,SalesData[Sales])</f>
        <v>22211.950000000004</v>
      </c>
      <c r="S134">
        <f>SUMIF(SalesData[Customer_ID],P134,SalesData[Profit])</f>
        <v>8311.9499999999989</v>
      </c>
      <c r="T134">
        <f>COUNTIF(SalesData[Customer_ID],P134)</f>
        <v>7</v>
      </c>
    </row>
    <row r="135" spans="16:20">
      <c r="P135" t="str">
        <f t="shared" si="1"/>
        <v>CUST123</v>
      </c>
      <c r="Q135" t="str">
        <f>INDEX(SalesData[Customer_Name],MATCH(P135,SalesData[Customer_ID],0))</f>
        <v>Varun Mishra</v>
      </c>
      <c r="R135">
        <f>SUMIF(SalesData[Customer_ID],P135,SalesData[Sales])</f>
        <v>17263.600000000002</v>
      </c>
      <c r="S135">
        <f>SUMIF(SalesData[Customer_ID],P135,SalesData[Profit])</f>
        <v>4823.6000000000004</v>
      </c>
      <c r="T135">
        <f>COUNTIF(SalesData[Customer_ID],P135)</f>
        <v>7</v>
      </c>
    </row>
    <row r="136" spans="16:20">
      <c r="P136" t="str">
        <f t="shared" si="1"/>
        <v>CUST124</v>
      </c>
      <c r="Q136" t="str">
        <f>INDEX(SalesData[Customer_Name],MATCH(P136,SalesData[Customer_ID],0))</f>
        <v>Nisha Kumar</v>
      </c>
      <c r="R136">
        <f>SUMIF(SalesData[Customer_ID],P136,SalesData[Sales])</f>
        <v>29046.35</v>
      </c>
      <c r="S136">
        <f>SUMIF(SalesData[Customer_ID],P136,SalesData[Profit])</f>
        <v>10256.35</v>
      </c>
      <c r="T136">
        <f>COUNTIF(SalesData[Customer_ID],P136)</f>
        <v>8</v>
      </c>
    </row>
    <row r="137" spans="16:20">
      <c r="P137" t="str">
        <f t="shared" si="1"/>
        <v>CUST125</v>
      </c>
      <c r="Q137" t="str">
        <f>INDEX(SalesData[Customer_Name],MATCH(P137,SalesData[Customer_ID],0))</f>
        <v>Priya Gupta</v>
      </c>
      <c r="R137">
        <f>SUMIF(SalesData[Customer_ID],P137,SalesData[Sales])</f>
        <v>26559.65</v>
      </c>
      <c r="S137">
        <f>SUMIF(SalesData[Customer_ID],P137,SalesData[Profit])</f>
        <v>8509.65</v>
      </c>
      <c r="T137">
        <f>COUNTIF(SalesData[Customer_ID],P137)</f>
        <v>10</v>
      </c>
    </row>
    <row r="138" spans="16:20">
      <c r="P138" t="str">
        <f t="shared" si="1"/>
        <v>CUST126</v>
      </c>
      <c r="Q138" t="str">
        <f>INDEX(SalesData[Customer_Name],MATCH(P138,SalesData[Customer_ID],0))</f>
        <v>Sahil Patel</v>
      </c>
      <c r="R138">
        <f>SUMIF(SalesData[Customer_ID],P138,SalesData[Sales])</f>
        <v>34901.15</v>
      </c>
      <c r="S138">
        <f>SUMIF(SalesData[Customer_ID],P138,SalesData[Profit])</f>
        <v>11931.15</v>
      </c>
      <c r="T138">
        <f>COUNTIF(SalesData[Customer_ID],P138)</f>
        <v>8</v>
      </c>
    </row>
    <row r="139" spans="16:20">
      <c r="P139" t="str">
        <f t="shared" si="1"/>
        <v>CUST127</v>
      </c>
      <c r="Q139" t="str">
        <f>INDEX(SalesData[Customer_Name],MATCH(P139,SalesData[Customer_ID],0))</f>
        <v>Nisha Gupta</v>
      </c>
      <c r="R139">
        <f>SUMIF(SalesData[Customer_ID],P139,SalesData[Sales])</f>
        <v>15757.949999999999</v>
      </c>
      <c r="S139">
        <f>SUMIF(SalesData[Customer_ID],P139,SalesData[Profit])</f>
        <v>4357.95</v>
      </c>
      <c r="T139">
        <f>COUNTIF(SalesData[Customer_ID],P139)</f>
        <v>6</v>
      </c>
    </row>
    <row r="140" spans="16:20">
      <c r="P140" t="str">
        <f t="shared" si="1"/>
        <v>CUST128</v>
      </c>
      <c r="Q140" t="str">
        <f>INDEX(SalesData[Customer_Name],MATCH(P140,SalesData[Customer_ID],0))</f>
        <v>Rahul Jain</v>
      </c>
      <c r="R140">
        <f>SUMIF(SalesData[Customer_ID],P140,SalesData[Sales])</f>
        <v>24695.900000000005</v>
      </c>
      <c r="S140">
        <f>SUMIF(SalesData[Customer_ID],P140,SalesData[Profit])</f>
        <v>7285.9000000000005</v>
      </c>
      <c r="T140">
        <f>COUNTIF(SalesData[Customer_ID],P140)</f>
        <v>8</v>
      </c>
    </row>
    <row r="141" spans="16:20">
      <c r="P141" t="str">
        <f t="shared" si="1"/>
        <v>CUST129</v>
      </c>
      <c r="Q141" t="str">
        <f>INDEX(SalesData[Customer_Name],MATCH(P141,SalesData[Customer_ID],0))</f>
        <v>Amit Sharma</v>
      </c>
      <c r="R141">
        <f>SUMIF(SalesData[Customer_ID],P141,SalesData[Sales])</f>
        <v>19792.899999999998</v>
      </c>
      <c r="S141">
        <f>SUMIF(SalesData[Customer_ID],P141,SalesData[Profit])</f>
        <v>7492.9</v>
      </c>
      <c r="T141">
        <f>COUNTIF(SalesData[Customer_ID],P141)</f>
        <v>7</v>
      </c>
    </row>
    <row r="142" spans="16:20">
      <c r="P142" t="str">
        <f t="shared" ref="P142:P163" si="2">"CUST"&amp;TEXT(ROW()-12,"000")</f>
        <v>CUST130</v>
      </c>
      <c r="Q142" t="str">
        <f>INDEX(SalesData[Customer_Name],MATCH(P142,SalesData[Customer_ID],0))</f>
        <v>Vikas Sharma</v>
      </c>
      <c r="R142">
        <f>SUMIF(SalesData[Customer_ID],P142,SalesData[Sales])</f>
        <v>30230.699999999997</v>
      </c>
      <c r="S142">
        <f>SUMIF(SalesData[Customer_ID],P142,SalesData[Profit])</f>
        <v>8910.7000000000007</v>
      </c>
      <c r="T142">
        <f>COUNTIF(SalesData[Customer_ID],P142)</f>
        <v>10</v>
      </c>
    </row>
    <row r="143" spans="16:20">
      <c r="P143" t="str">
        <f t="shared" si="2"/>
        <v>CUST131</v>
      </c>
      <c r="Q143" t="str">
        <f>INDEX(SalesData[Customer_Name],MATCH(P143,SalesData[Customer_ID],0))</f>
        <v>Rohan Yadav</v>
      </c>
      <c r="R143">
        <f>SUMIF(SalesData[Customer_ID],P143,SalesData[Sales])</f>
        <v>10890.5</v>
      </c>
      <c r="S143">
        <f>SUMIF(SalesData[Customer_ID],P143,SalesData[Profit])</f>
        <v>4170.5</v>
      </c>
      <c r="T143">
        <f>COUNTIF(SalesData[Customer_ID],P143)</f>
        <v>4</v>
      </c>
    </row>
    <row r="144" spans="16:20">
      <c r="P144" t="str">
        <f t="shared" si="2"/>
        <v>CUST132</v>
      </c>
      <c r="Q144" t="str">
        <f>INDEX(SalesData[Customer_Name],MATCH(P144,SalesData[Customer_ID],0))</f>
        <v>Vikas Yadav</v>
      </c>
      <c r="R144">
        <f>SUMIF(SalesData[Customer_ID],P144,SalesData[Sales])</f>
        <v>21962.1</v>
      </c>
      <c r="S144">
        <f>SUMIF(SalesData[Customer_ID],P144,SalesData[Profit])</f>
        <v>7212.1</v>
      </c>
      <c r="T144">
        <f>COUNTIF(SalesData[Customer_ID],P144)</f>
        <v>7</v>
      </c>
    </row>
    <row r="145" spans="16:20">
      <c r="P145" t="str">
        <f t="shared" si="2"/>
        <v>CUST133</v>
      </c>
      <c r="Q145" t="str">
        <f>INDEX(SalesData[Customer_Name],MATCH(P145,SalesData[Customer_ID],0))</f>
        <v>Anjali Mishra</v>
      </c>
      <c r="R145">
        <f>SUMIF(SalesData[Customer_ID],P145,SalesData[Sales])</f>
        <v>35906.15</v>
      </c>
      <c r="S145">
        <f>SUMIF(SalesData[Customer_ID],P145,SalesData[Profit])</f>
        <v>12606.150000000001</v>
      </c>
      <c r="T145">
        <f>COUNTIF(SalesData[Customer_ID],P145)</f>
        <v>8</v>
      </c>
    </row>
    <row r="146" spans="16:20">
      <c r="P146" t="str">
        <f t="shared" si="2"/>
        <v>CUST134</v>
      </c>
      <c r="Q146" t="str">
        <f>INDEX(SalesData[Customer_Name],MATCH(P146,SalesData[Customer_ID],0))</f>
        <v>Pooja Singh</v>
      </c>
      <c r="R146">
        <f>SUMIF(SalesData[Customer_ID],P146,SalesData[Sales])</f>
        <v>15273.449999999999</v>
      </c>
      <c r="S146">
        <f>SUMIF(SalesData[Customer_ID],P146,SalesData[Profit])</f>
        <v>4853.45</v>
      </c>
      <c r="T146">
        <f>COUNTIF(SalesData[Customer_ID],P146)</f>
        <v>8</v>
      </c>
    </row>
    <row r="147" spans="16:20">
      <c r="P147" t="str">
        <f t="shared" si="2"/>
        <v>CUST135</v>
      </c>
      <c r="Q147" t="str">
        <f>INDEX(SalesData[Customer_Name],MATCH(P147,SalesData[Customer_ID],0))</f>
        <v>Varun Mehta</v>
      </c>
      <c r="R147">
        <f>SUMIF(SalesData[Customer_ID],P147,SalesData[Sales])</f>
        <v>10168.1</v>
      </c>
      <c r="S147">
        <f>SUMIF(SalesData[Customer_ID],P147,SalesData[Profit])</f>
        <v>3318.1</v>
      </c>
      <c r="T147">
        <f>COUNTIF(SalesData[Customer_ID],P147)</f>
        <v>3</v>
      </c>
    </row>
    <row r="148" spans="16:20">
      <c r="P148" t="str">
        <f t="shared" si="2"/>
        <v>CUST136</v>
      </c>
      <c r="Q148" t="str">
        <f>INDEX(SalesData[Customer_Name],MATCH(P148,SalesData[Customer_ID],0))</f>
        <v>Varun Verma</v>
      </c>
      <c r="R148">
        <f>SUMIF(SalesData[Customer_ID],P148,SalesData[Sales])</f>
        <v>6995</v>
      </c>
      <c r="S148">
        <f>SUMIF(SalesData[Customer_ID],P148,SalesData[Profit])</f>
        <v>2875</v>
      </c>
      <c r="T148">
        <f>COUNTIF(SalesData[Customer_ID],P148)</f>
        <v>2</v>
      </c>
    </row>
    <row r="149" spans="16:20">
      <c r="P149" t="str">
        <f t="shared" si="2"/>
        <v>CUST137</v>
      </c>
      <c r="Q149" t="str">
        <f>INDEX(SalesData[Customer_Name],MATCH(P149,SalesData[Customer_ID],0))</f>
        <v>Varun Sharma</v>
      </c>
      <c r="R149">
        <f>SUMIF(SalesData[Customer_ID],P149,SalesData[Sales])</f>
        <v>10890.2</v>
      </c>
      <c r="S149">
        <f>SUMIF(SalesData[Customer_ID],P149,SalesData[Profit])</f>
        <v>2990.2</v>
      </c>
      <c r="T149">
        <f>COUNTIF(SalesData[Customer_ID],P149)</f>
        <v>4</v>
      </c>
    </row>
    <row r="150" spans="16:20">
      <c r="P150" t="str">
        <f t="shared" si="2"/>
        <v>CUST138</v>
      </c>
      <c r="Q150" t="str">
        <f>INDEX(SalesData[Customer_Name],MATCH(P150,SalesData[Customer_ID],0))</f>
        <v>Amit Jain</v>
      </c>
      <c r="R150">
        <f>SUMIF(SalesData[Customer_ID],P150,SalesData[Sales])</f>
        <v>31587.5</v>
      </c>
      <c r="S150">
        <f>SUMIF(SalesData[Customer_ID],P150,SalesData[Profit])</f>
        <v>10987.5</v>
      </c>
      <c r="T150">
        <f>COUNTIF(SalesData[Customer_ID],P150)</f>
        <v>10</v>
      </c>
    </row>
    <row r="151" spans="16:20">
      <c r="P151" t="str">
        <f t="shared" si="2"/>
        <v>CUST139</v>
      </c>
      <c r="Q151" t="str">
        <f>INDEX(SalesData[Customer_Name],MATCH(P151,SalesData[Customer_ID],0))</f>
        <v>Nisha Yadav</v>
      </c>
      <c r="R151">
        <f>SUMIF(SalesData[Customer_ID],P151,SalesData[Sales])</f>
        <v>27069.65</v>
      </c>
      <c r="S151">
        <f>SUMIF(SalesData[Customer_ID],P151,SalesData[Profit])</f>
        <v>9129.65</v>
      </c>
      <c r="T151">
        <f>COUNTIF(SalesData[Customer_ID],P151)</f>
        <v>6</v>
      </c>
    </row>
    <row r="152" spans="16:20">
      <c r="P152" t="str">
        <f t="shared" si="2"/>
        <v>CUST140</v>
      </c>
      <c r="Q152" t="str">
        <f>INDEX(SalesData[Customer_Name],MATCH(P152,SalesData[Customer_ID],0))</f>
        <v>Sahil Kumar</v>
      </c>
      <c r="R152">
        <f>SUMIF(SalesData[Customer_ID],P152,SalesData[Sales])</f>
        <v>5290.4500000000007</v>
      </c>
      <c r="S152">
        <f>SUMIF(SalesData[Customer_ID],P152,SalesData[Profit])</f>
        <v>1850.4499999999998</v>
      </c>
      <c r="T152">
        <f>COUNTIF(SalesData[Customer_ID],P152)</f>
        <v>3</v>
      </c>
    </row>
    <row r="153" spans="16:20">
      <c r="P153" t="str">
        <f t="shared" si="2"/>
        <v>CUST141</v>
      </c>
      <c r="Q153" t="str">
        <f>INDEX(SalesData[Customer_Name],MATCH(P153,SalesData[Customer_ID],0))</f>
        <v>Arjun Mishra</v>
      </c>
      <c r="R153">
        <f>SUMIF(SalesData[Customer_ID],P153,SalesData[Sales])</f>
        <v>13957.95</v>
      </c>
      <c r="S153">
        <f>SUMIF(SalesData[Customer_ID],P153,SalesData[Profit])</f>
        <v>5357.95</v>
      </c>
      <c r="T153">
        <f>COUNTIF(SalesData[Customer_ID],P153)</f>
        <v>6</v>
      </c>
    </row>
    <row r="154" spans="16:20">
      <c r="P154" t="str">
        <f t="shared" si="2"/>
        <v>CUST142</v>
      </c>
      <c r="Q154" t="str">
        <f>INDEX(SalesData[Customer_Name],MATCH(P154,SalesData[Customer_ID],0))</f>
        <v>Nisha Mishra</v>
      </c>
      <c r="R154">
        <f>SUMIF(SalesData[Customer_ID],P154,SalesData[Sales])</f>
        <v>30216.699999999997</v>
      </c>
      <c r="S154">
        <f>SUMIF(SalesData[Customer_ID],P154,SalesData[Profit])</f>
        <v>11116.699999999999</v>
      </c>
      <c r="T154">
        <f>COUNTIF(SalesData[Customer_ID],P154)</f>
        <v>6</v>
      </c>
    </row>
    <row r="155" spans="16:20">
      <c r="P155" t="str">
        <f t="shared" si="2"/>
        <v>CUST143</v>
      </c>
      <c r="Q155" t="str">
        <f>INDEX(SalesData[Customer_Name],MATCH(P155,SalesData[Customer_ID],0))</f>
        <v>Amit Gupta</v>
      </c>
      <c r="R155">
        <f>SUMIF(SalesData[Customer_ID],P155,SalesData[Sales])</f>
        <v>22020.6</v>
      </c>
      <c r="S155">
        <f>SUMIF(SalesData[Customer_ID],P155,SalesData[Profit])</f>
        <v>8540.5999999999985</v>
      </c>
      <c r="T155">
        <f>COUNTIF(SalesData[Customer_ID],P155)</f>
        <v>6</v>
      </c>
    </row>
    <row r="156" spans="16:20">
      <c r="P156" t="str">
        <f t="shared" si="2"/>
        <v>CUST144</v>
      </c>
      <c r="Q156" t="str">
        <f>INDEX(SalesData[Customer_Name],MATCH(P156,SalesData[Customer_ID],0))</f>
        <v>Sahil Mishra</v>
      </c>
      <c r="R156">
        <f>SUMIF(SalesData[Customer_ID],P156,SalesData[Sales])</f>
        <v>10073.150000000001</v>
      </c>
      <c r="S156">
        <f>SUMIF(SalesData[Customer_ID],P156,SalesData[Profit])</f>
        <v>3123.1499999999996</v>
      </c>
      <c r="T156">
        <f>COUNTIF(SalesData[Customer_ID],P156)</f>
        <v>6</v>
      </c>
    </row>
    <row r="157" spans="16:20">
      <c r="P157" t="str">
        <f t="shared" si="2"/>
        <v>CUST145</v>
      </c>
      <c r="Q157" t="str">
        <f>INDEX(SalesData[Customer_Name],MATCH(P157,SalesData[Customer_ID],0))</f>
        <v>Rahul Yadav</v>
      </c>
      <c r="R157">
        <f>SUMIF(SalesData[Customer_ID],P157,SalesData[Sales])</f>
        <v>36238.050000000003</v>
      </c>
      <c r="S157">
        <f>SUMIF(SalesData[Customer_ID],P157,SalesData[Profit])</f>
        <v>12228.05</v>
      </c>
      <c r="T157">
        <f>COUNTIF(SalesData[Customer_ID],P157)</f>
        <v>8</v>
      </c>
    </row>
    <row r="158" spans="16:20">
      <c r="P158" t="str">
        <f t="shared" si="2"/>
        <v>CUST146</v>
      </c>
      <c r="Q158" t="str">
        <f>INDEX(SalesData[Customer_Name],MATCH(P158,SalesData[Customer_ID],0))</f>
        <v>Kavya Verma</v>
      </c>
      <c r="R158">
        <f>SUMIF(SalesData[Customer_ID],P158,SalesData[Sales])</f>
        <v>18887.349999999999</v>
      </c>
      <c r="S158">
        <f>SUMIF(SalesData[Customer_ID],P158,SalesData[Profit])</f>
        <v>6267.35</v>
      </c>
      <c r="T158">
        <f>COUNTIF(SalesData[Customer_ID],P158)</f>
        <v>6</v>
      </c>
    </row>
    <row r="159" spans="16:20">
      <c r="P159" t="str">
        <f t="shared" si="2"/>
        <v>CUST147</v>
      </c>
      <c r="Q159" t="str">
        <f>INDEX(SalesData[Customer_Name],MATCH(P159,SalesData[Customer_ID],0))</f>
        <v>Arjun Mishra</v>
      </c>
      <c r="R159">
        <f>SUMIF(SalesData[Customer_ID],P159,SalesData[Sales])</f>
        <v>35086.5</v>
      </c>
      <c r="S159">
        <f>SUMIF(SalesData[Customer_ID],P159,SalesData[Profit])</f>
        <v>11256.5</v>
      </c>
      <c r="T159">
        <f>COUNTIF(SalesData[Customer_ID],P159)</f>
        <v>8</v>
      </c>
    </row>
    <row r="160" spans="16:20">
      <c r="P160" t="str">
        <f t="shared" si="2"/>
        <v>CUST148</v>
      </c>
      <c r="Q160" t="str">
        <f>INDEX(SalesData[Customer_Name],MATCH(P160,SalesData[Customer_ID],0))</f>
        <v>Rahul Jain</v>
      </c>
      <c r="R160">
        <f>SUMIF(SalesData[Customer_ID],P160,SalesData[Sales])</f>
        <v>27514.249999999996</v>
      </c>
      <c r="S160">
        <f>SUMIF(SalesData[Customer_ID],P160,SalesData[Profit])</f>
        <v>8724.25</v>
      </c>
      <c r="T160">
        <f>COUNTIF(SalesData[Customer_ID],P160)</f>
        <v>10</v>
      </c>
    </row>
    <row r="161" spans="16:20">
      <c r="P161" t="str">
        <f t="shared" si="2"/>
        <v>CUST149</v>
      </c>
      <c r="Q161" t="str">
        <f>INDEX(SalesData[Customer_Name],MATCH(P161,SalesData[Customer_ID],0))</f>
        <v>Nisha Yadav</v>
      </c>
      <c r="R161">
        <f>SUMIF(SalesData[Customer_ID],P161,SalesData[Sales])</f>
        <v>16391.849999999999</v>
      </c>
      <c r="S161">
        <f>SUMIF(SalesData[Customer_ID],P161,SalesData[Profit])</f>
        <v>6041.85</v>
      </c>
      <c r="T161">
        <f>COUNTIF(SalesData[Customer_ID],P161)</f>
        <v>7</v>
      </c>
    </row>
    <row r="162" spans="16:20">
      <c r="P162" t="str">
        <f t="shared" si="2"/>
        <v>CUST150</v>
      </c>
      <c r="Q162" t="str">
        <f>INDEX(SalesData[Customer_Name],MATCH(P162,SalesData[Customer_ID],0))</f>
        <v>Kavya Yadav</v>
      </c>
      <c r="R162">
        <f>SUMIF(SalesData[Customer_ID],P162,SalesData[Sales])</f>
        <v>27667.85</v>
      </c>
      <c r="S162">
        <f>SUMIF(SalesData[Customer_ID],P162,SalesData[Profit])</f>
        <v>9637.85</v>
      </c>
      <c r="T162">
        <f>COUNTIF(SalesData[Customer_ID],P162)</f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showGridLines="0" tabSelected="1" zoomScaleNormal="100" workbookViewId="0">
      <selection sqref="A1:H1"/>
    </sheetView>
  </sheetViews>
  <sheetFormatPr defaultRowHeight="14.5"/>
  <cols>
    <col min="1" max="1" width="85.6328125" customWidth="1"/>
    <col min="3" max="3" width="14.6328125" customWidth="1"/>
    <col min="5" max="5" width="14.6328125" customWidth="1"/>
    <col min="7" max="7" width="17.6328125" customWidth="1"/>
  </cols>
  <sheetData>
    <row r="1" spans="1:8" ht="23.5">
      <c r="A1" s="10" t="s">
        <v>1395</v>
      </c>
      <c r="B1" s="10"/>
      <c r="C1" s="10"/>
      <c r="D1" s="10"/>
      <c r="E1" s="10"/>
      <c r="F1" s="10"/>
      <c r="G1" s="10"/>
      <c r="H1" s="11"/>
    </row>
    <row r="3" spans="1:8">
      <c r="A3" t="s">
        <v>1389</v>
      </c>
      <c r="C3" t="s">
        <v>1390</v>
      </c>
      <c r="E3" t="s">
        <v>1391</v>
      </c>
      <c r="G3" t="s">
        <v>1392</v>
      </c>
    </row>
    <row r="4" spans="1:8">
      <c r="A4" s="9">
        <f>Analysis!B3</f>
        <v>3393804.9499999979</v>
      </c>
      <c r="C4" s="7">
        <f>Analysis!B4</f>
        <v>1000</v>
      </c>
      <c r="E4" s="9">
        <f>Analysis!B5</f>
        <v>1113524.9500000011</v>
      </c>
      <c r="G4" s="7">
        <f>Analysis!B6</f>
        <v>149.99999999999983</v>
      </c>
    </row>
    <row r="6" spans="1:8">
      <c r="A6" t="s">
        <v>1393</v>
      </c>
      <c r="C6" t="s">
        <v>1394</v>
      </c>
    </row>
    <row r="7" spans="1:8">
      <c r="A7" s="9">
        <f>Analysis!B7</f>
        <v>3393.8049499999979</v>
      </c>
      <c r="C7" s="8">
        <f>Analysis!B8</f>
        <v>0.32810516998037903</v>
      </c>
    </row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Sales_Data</vt:lpstr>
      <vt:lpstr>Raw_Data</vt:lpstr>
      <vt:lpstr>Read_Me</vt:lpstr>
      <vt:lpstr>Analysis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2026-09-11T14:21:30Z</dcterms:created>
  <dcterms:modified xsi:type="dcterms:W3CDTF">2026-09-12T18:11:02Z</dcterms:modified>
</cp:coreProperties>
</file>